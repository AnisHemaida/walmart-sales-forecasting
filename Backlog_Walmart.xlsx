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fband\OneDrive - Collège la Cité\Documents\000Semestre 04\004 Projet Sciences des données\Projet Integrateur\Backlog\"/>
    </mc:Choice>
  </mc:AlternateContent>
  <xr:revisionPtr revIDLastSave="0" documentId="8_{BC4C35DA-7436-4F33-BE82-FE492A32D82A}" xr6:coauthVersionLast="47" xr6:coauthVersionMax="47" xr10:uidLastSave="{00000000-0000-0000-0000-000000000000}"/>
  <bookViews>
    <workbookView xWindow="-108" yWindow="-108" windowWidth="23256" windowHeight="13896" xr2:uid="{00000000-000D-0000-FFFF-FFFF00000000}"/>
  </bookViews>
  <sheets>
    <sheet name="Backlog_Walmart_3_Epics" sheetId="1" r:id="rId1"/>
    <sheet name="Feuil1" sheetId="2" r:id="rId2"/>
    <sheet name="Feuil2" sheetId="3" r:id="rId3"/>
  </sheets>
  <definedNames>
    <definedName name="_xlnm._FilterDatabase" localSheetId="0" hidden="1">Backlog_Walmart_3_Epics!$A$1:$J$72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1" i="1" l="1"/>
  <c r="H32" i="1"/>
  <c r="H2" i="1"/>
</calcChain>
</file>

<file path=xl/sharedStrings.xml><?xml version="1.0" encoding="utf-8"?>
<sst xmlns="http://schemas.openxmlformats.org/spreadsheetml/2006/main" count="1138" uniqueCount="230">
  <si>
    <t>Issue Type</t>
  </si>
  <si>
    <t>Epic Name</t>
  </si>
  <si>
    <t>Summary</t>
  </si>
  <si>
    <t>Description</t>
  </si>
  <si>
    <t>Acceptance Criteria (AC) &amp;  Definition of Done (DoD)</t>
  </si>
  <si>
    <t>Priority</t>
  </si>
  <si>
    <t>Sprint</t>
  </si>
  <si>
    <t>Story Points</t>
  </si>
  <si>
    <t>Parent</t>
  </si>
  <si>
    <t>Assignation</t>
  </si>
  <si>
    <t>Epic</t>
  </si>
  <si>
    <t>Compréhension et Préparation des Données</t>
  </si>
  <si>
    <t>Compréhension, Préparation du dataset et Analyse décisionnelle des facteurs influençant les ventes</t>
  </si>
  <si>
    <t>Comprendre le contexte métier Walmart, explorer les données historiques,Identifier, analyser et expliquer les facteurs clés influençant les ventes en grande distribution (promotions, périodes de fêtes, variables économiques et saisonnières) afin de soutenir la prise de décision stratégique et opérationnelle.</t>
  </si>
  <si>
    <t>Definition of Done (DoD) — EPIC 1
L’Epic est terminé lorsque :
   Les besoins décisionnels sont documentés.
   Les données sont propres et validées.
   Les analyses exploratoires sont complètes.
   Les facteurs explicatifs sont identifiés.
   Les insights sont présentés et interprétables.
   Toutes les stories respectent la structure agile.</t>
  </si>
  <si>
    <t>High</t>
  </si>
  <si>
    <t>PDVW-1</t>
  </si>
  <si>
    <t>Story</t>
  </si>
  <si>
    <t>Comprendre le contexte retail Walmart</t>
  </si>
  <si>
    <t>En tant que décideur en grande distribution, je veux comprendre les enjeux liés à la variation des ventes afin de prendre de meilleures décisions en matière de stocks et de promotions.</t>
  </si>
  <si>
    <t>Acceptance Criteria (AC)  :
   Le contexte métier Walmart est décrit et documenté.
   Les enjeux liés aux ventes sont identifiés.
   Les décisions métiers (stocks, promotions, achats) sont clairement listées.
   Les objectifs analytiques sont formalisés.</t>
  </si>
  <si>
    <t>Sprint 0</t>
  </si>
  <si>
    <t>PDVW-4</t>
  </si>
  <si>
    <t>Farid</t>
  </si>
  <si>
    <t>Sub-task</t>
  </si>
  <si>
    <t>Analyse du contexte métier de la grande distribution</t>
  </si>
  <si>
    <t>Analyse du fonctionnement de la grande distribution afin de comprendre les enjeux liés aux ventes, aux stocks et aux promotions.</t>
  </si>
  <si>
    <t>Abdennour</t>
  </si>
  <si>
    <t>Identification des décisions à soutenir (stocks, promotions, achats)</t>
  </si>
  <si>
    <t>Identification des principales décisions métiers à appuyer par l’analyse des données de ventes.</t>
  </si>
  <si>
    <t>Wassila</t>
  </si>
  <si>
    <t>Formalisation des besoins décisionnels</t>
  </si>
  <si>
    <t>Formalisation claire des besoins des décideurs afin de guider les analyses et les livrables du projet.</t>
  </si>
  <si>
    <t>Lamine</t>
  </si>
  <si>
    <t>Définir les objectifs analytiques du projet</t>
  </si>
  <si>
    <t>En tant que Product Owner je veux définir clairement les objectifs de prédiction et les critères de succès afin d'aligner l'équipe sur les résultats attendus</t>
  </si>
  <si>
    <t>Acceptance Criteria (AC)  :
   La variable cible (Weekly_Sales) est clairement définie.
   Les métriques de performance (WMAE, RMSE, MAE, MAPE) sont justifiées.
   Les seuils de succès sont quantifiés.
   Les KPIs sont alignés avec les besoins métier.</t>
  </si>
  <si>
    <t>PDVW-5</t>
  </si>
  <si>
    <t>Salsabil</t>
  </si>
  <si>
    <t>Définition de la variable cible</t>
  </si>
  <si>
    <t>Identifier la variable cible: ventes hebdomadaires (Weekly_Sales) par magasin et département</t>
  </si>
  <si>
    <t>Anis</t>
  </si>
  <si>
    <t>Choix des métriques de performance</t>
  </si>
  <si>
    <t>Définir KPIs: WMAE métrique principale (Weighted Mean Absolute Error), RMSE (Root Mean Square Error), MAE (Mean Absolute Error), MAPE (Mean Absolute Percentage Error)</t>
  </si>
  <si>
    <t>Établissement des seuils de succès</t>
  </si>
  <si>
    <t>Définir objectifs quantifiés: WMAE &lt; 15%, précision &gt; 85%, réduction ruptures de stock de 20%</t>
  </si>
  <si>
    <t>Préparer les données de ventes et vérifier leur qualité afin de s’assurer qu’elles sont cohérentes et exploitables pour les analyses explicatives.</t>
  </si>
  <si>
    <t>En tant que data analyst, je veux préparer et vérifier la qualité des données de ventes afin de garantir des analyses fiables et cohérentes.</t>
  </si>
  <si>
    <t>Acceptance Criteria (AC)  : 
   Les données sont importées et jointes correctement.
   Les valeurs manquantes et incohérences sont identifiées.
   Les formats sont harmonisés.
   Le dataset final est validé comme exploitable.</t>
  </si>
  <si>
    <t>Medium</t>
  </si>
  <si>
    <t>Sprint 1</t>
  </si>
  <si>
    <t>PDVW-6</t>
  </si>
  <si>
    <t>Importation et jointure des données</t>
  </si>
  <si>
    <t>Importer les différentes sources de données et effectuer les jointures nécessaires afin d’obtenir un jeu de données unique, cohérent et prêt pour l’analyse.</t>
  </si>
  <si>
    <t>Low</t>
  </si>
  <si>
    <t>Vérification de la complétude des données</t>
  </si>
  <si>
    <t>Vérifier que toutes les observations nécessaires sont présentes dans le jeu de données, identifier les colonnes ou périodes incomplètes et évaluer l’impact des données manquantes sur les analyses futures.</t>
  </si>
  <si>
    <t>Identification des valeurs manquantes et incohérences</t>
  </si>
  <si>
    <t>Identifier les valeurs manquantes, les valeurs aberrantes et les incohérences dans les données afin de déterminer les actions correctives à appliquer avant l’analyse.</t>
  </si>
  <si>
    <t>Harmonisation des formats (dates, variables numériques)</t>
  </si>
  <si>
    <t>Uniformiser les formats des dates et des variables numériques afin d’assurer la cohérence des données et leur bonne interprétation lors des analyses.</t>
  </si>
  <si>
    <t>Validation de la cohérence des données avant analyse</t>
  </si>
  <si>
    <t>Valider la cohérence globale du jeu de données après nettoyage et harmonisation afin de s’assurer qu’il est fiable et exploitable pour les analyses explicatives.</t>
  </si>
  <si>
    <t>Analyse exploratoire et compréhension des données de ventes</t>
  </si>
  <si>
    <t>En tant que data analyst, je veux analyser et explorer les données de ventes historiques afin de comprendre leur structure, détecter les tendances et identifier les effets saisonniers.</t>
  </si>
  <si>
    <t>Acceptance Criteria (AC)  : 
   Les tendances générales sont identifiées.
   Les effets saisonniers sont mis en évidence.
   Les différences entre magasins et départements sont analysées.
   Les visualisations sont interprétables.</t>
  </si>
  <si>
    <t>Sprint 2</t>
  </si>
  <si>
    <t>PDVW-7</t>
  </si>
  <si>
    <t>Analyse de la structure et des variables du dataset</t>
  </si>
  <si>
    <t>Analyse de la structure des données et des variables disponibles pour comprendre leur signification et leur rôle.</t>
  </si>
  <si>
    <t>Analyse descriptive des ventes par magasin et département</t>
  </si>
  <si>
    <t>Analyse descriptive des ventes afin d’identifier les volumes, les distributions et les différences entre magasins et départements.</t>
  </si>
  <si>
    <t>Analyse des tendances temporelles et saisonnières</t>
  </si>
  <si>
    <t>Analyse des évolutions des ventes dans le temps afin de détecter des tendances et des effets saisonniers.</t>
  </si>
  <si>
    <t>Analyse des facteurs influençant les ventes</t>
  </si>
  <si>
    <t>En tant que data scientist, je veux analyser l’impact des facteurs contextuels sur les ventes afin d’expliquer les variations observées.</t>
  </si>
  <si>
    <t>Acceptance Criteria (AC)  :
    L’impact des promotions est mesuré.
    L’effet des périodes de fêtes est analysé.
    Les variables économiques sont étudiées.
    Les corrélations significatives sont identifiées.</t>
  </si>
  <si>
    <t>Sprint 3</t>
  </si>
  <si>
    <t>PDVW-8</t>
  </si>
  <si>
    <t>Analyse de l’effet des promotions</t>
  </si>
  <si>
    <t>Analyse de l’impact des promotions sur les variations des ventes.</t>
  </si>
  <si>
    <t>Analyse de l’impact des périodes de fêtes</t>
  </si>
  <si>
    <t>Analyse de l’effet des périodes de fêtes sur le niveau des ventes.</t>
  </si>
  <si>
    <t>Analyse des variables économiques et saisonnières</t>
  </si>
  <si>
    <t>Analyse de l’influence des variables économiques et climatiques sur les ventes.</t>
  </si>
  <si>
    <t>Étude des corrélations entre variables et ventes</t>
  </si>
  <si>
    <t>Étude des relations entre les variables explicatives et les ventes afin d’identifier les facteurs les plus influents.</t>
  </si>
  <si>
    <t>Restitution explicative pour l’aide à la décision</t>
  </si>
  <si>
    <t>En tant que décideur, je veux disposer d’analyses explicatives et de visualisations claires afin de comprendre les leviers de performance commerciale.</t>
  </si>
  <si>
    <t>Acceptance Criteria (AC)  :
   Les résultats sont synthétisés clairement.
   Les visualisations facilitent la compréhension.
   Des recommandations métier sont formulées.
   Les conclusions sont exploitables par un décideur.</t>
  </si>
  <si>
    <t>Sprint 4</t>
  </si>
  <si>
    <t>PDVW-9</t>
  </si>
  <si>
    <t>Création de visualisations explicatives</t>
  </si>
  <si>
    <t>Création de graphiques et visualisations permettant de comprendre facilement les résultats des analyses.</t>
  </si>
  <si>
    <t>Synthèse des résultats analytiques</t>
  </si>
  <si>
    <t>Synthèse claire des principaux résultats obtenus lors des analyses.</t>
  </si>
  <si>
    <t>Formulation de recommandations métier</t>
  </si>
  <si>
    <t>Formulation de recommandations concrètes basées sur les résultats analytiques afin de soutenir la prise de décision.</t>
  </si>
  <si>
    <t>Modélisation et Évaluation Prédictive</t>
  </si>
  <si>
    <t>Concevoir, entraîner et valider un modèle intelligent capable de prédire avec précision les ventes hebdomadaires pour chaque magasin et chaque département, à partir des données historiques et des variables contextuelles disponibles.</t>
  </si>
  <si>
    <t>Definition of Done (DoD) — EPIC 2
L’Epic est terminé lorsque :
   Un modèle performant est entraîné.
   Les performances sont documentées.
   Le modèle retenu est justifié.
   L’explicabilité (Feature importance / SHAP) est fournie.
   Les prévisions sont prêtes pour déploiement.</t>
  </si>
  <si>
    <t>PDVW-2</t>
  </si>
  <si>
    <t>Préparation des données pour la modélisation</t>
  </si>
  <si>
    <t>En tant que data scientist, je veux préparer et transformer les données de ventes afin de les rendre exploitables pour l’entraînement des modèles de prévision.</t>
  </si>
  <si>
    <t>Acceptance Criteria (AC)  :
   Les variables sont encodées correctement.
   Les nouvelles features sont créées.
   Le split train/test est correctement effectué.
   Les données sont prêtes pour l’entraînement.</t>
  </si>
  <si>
    <t>Sprint 5</t>
  </si>
  <si>
    <t>PDVW-10</t>
  </si>
  <si>
    <t>Encodage des variables catégorielles</t>
  </si>
  <si>
    <t>Transformation des variables catégorielles en formats exploitables par les modèles de prévision.</t>
  </si>
  <si>
    <t>Création de variables temporelles et contextuelles</t>
  </si>
  <si>
    <t>Création de nouvelles variables permettant de capturer les effets temporels et contextuels.</t>
  </si>
  <si>
    <t>Séparation des jeux d’entraînement et de test</t>
  </si>
  <si>
    <t>Séparation des données en jeux d’entraînement et de test afin d’évaluer correctement les modèles.</t>
  </si>
  <si>
    <t>Développement et entraînement des modèles de prévision</t>
  </si>
  <si>
    <t>En tant que data scientist, je veux développer et entraîner des modèles de prévision afin de prédire les ventes hebdomadaires par magasin et département.</t>
  </si>
  <si>
    <t>Acceptance Criteria (AC)  :
   Les algorithmes sélectionnés sont justifiés.
   Les modèles sont entraînés sans erreur.
   Les hyperparamètres sont optimisés.
   Les prévisions sont générées.</t>
  </si>
  <si>
    <t>Sprint 6</t>
  </si>
  <si>
    <t>PDVW-11</t>
  </si>
  <si>
    <t>Sélection des algorithmes de prévision adaptés</t>
  </si>
  <si>
    <t>Sélection des algorithmes les plus adaptés à la prévision des ventes hebdomadaires.</t>
  </si>
  <si>
    <t>Entraînement des modèles sur les données historiques</t>
  </si>
  <si>
    <t>Entraînement des modèles de prévision à partir des données historiques.</t>
  </si>
  <si>
    <t>Ajustement des hyperparamètres</t>
  </si>
  <si>
    <t>Optimisation des paramètres des modèles afin d’améliorer leurs performances.</t>
  </si>
  <si>
    <t>Génération des prévisions</t>
  </si>
  <si>
    <t>Génération des prévisions de ventes pour chaque magasin et département.</t>
  </si>
  <si>
    <t>Évaluation et validation des performances des modèles</t>
  </si>
  <si>
    <t>En tant que data scientist, je veux évaluer les performances des modèles afin de sélectionner la solution la plus fiable.</t>
  </si>
  <si>
    <t>Acceptance Criteria (AC)  :
   Les métriques sont calculées.
   Les modèles sont comparés objectivement.
   Les erreurs sont analysées.
   Le modèle final est sélectionné et justifié.</t>
  </si>
  <si>
    <t>Sprint 7</t>
  </si>
  <si>
    <t>PDVW-12</t>
  </si>
  <si>
    <t xml:space="preserve">Choix des métriques d’évaluation </t>
  </si>
  <si>
    <t>Sélection des métriques permettant d’évaluer la qualité des prévisions.</t>
  </si>
  <si>
    <t>Comparaison des performances des modèles</t>
  </si>
  <si>
    <t>Comparaison des résultats obtenus par les différents modèles testés.</t>
  </si>
  <si>
    <t>Analyse des erreurs de prédiction</t>
  </si>
  <si>
    <t>Analyse des écarts entre les valeurs réelles et les valeurs prédites afin de comprendre les erreurs.</t>
  </si>
  <si>
    <t>Interprétation avec Feature Importance et SHAP</t>
  </si>
  <si>
    <t>Extraire feature importance du modèle, calculer SHAP values (SHapley Additive exPlanations), créer visualisations et insights métier</t>
  </si>
  <si>
    <t>Validation métier des prévisions déployées</t>
  </si>
  <si>
    <t>En tant que décideur, je veux valider la pertinence des prévisions déployées afin de m’assurer de leur fiabilité opérationnelle.</t>
  </si>
  <si>
    <t>Acceptance Criteria (AC)  :
   Les prévisions sont cohérentes avec le contexte métier.
   Les écarts sont expliqués.
   Les décideurs valident la pertinence.
   Le modèle est prêt pour exploitation.</t>
  </si>
  <si>
    <t>Sprint 8</t>
  </si>
  <si>
    <t>PDVW-13</t>
  </si>
  <si>
    <t>Analyse de la cohérence des prévisions déployées</t>
  </si>
  <si>
    <t>Vérification de la cohérence des prévisions par rapport au contexte métier.</t>
  </si>
  <si>
    <t>Comparaison avec les ventes historiques</t>
  </si>
  <si>
    <t>Comparaison des prévisions avec les données historiques afin de valider leur pertinence.</t>
  </si>
  <si>
    <t>Validation finale par les utilisateurs métier</t>
  </si>
  <si>
    <t>Validation finale des prévisions par les décideurs avant leur utilisation opérationnelle.</t>
  </si>
  <si>
    <t>Intelligence décisionnelle &amp; exploitation</t>
  </si>
  <si>
    <t>Développer des outils d'aide à la décision basés sur les prévisions: système de recommandations stocks, simulateur de promotions et dashboard de monitoring pour optimiser la gestion opérationnelle et stratégique.</t>
  </si>
  <si>
    <t>Definition of Done (DoD) — EPIC 3
L’Epic est terminé lorsque :
   Les outils décisionnels sont opérationnels.
   Les prévisions sont exploitables.
   Les recommandations sont actionnables.
   Les utilisateurs peuvent utiliser le système sans support technique.
   Le système apporte une valeur métier mesurable.</t>
  </si>
  <si>
    <t>PDVW-3</t>
  </si>
  <si>
    <t>Déploiement du modèle de prévision</t>
  </si>
  <si>
    <t>En tant que décideur et utilisateur métier, je veux accéder aux prévisions de ventes via un support exploitable afin de les utiliser dans la planification et la prise de décision.</t>
  </si>
  <si>
    <t>Acceptance Criteria (AC)  :
   Les prévisions sont accessibles.
   Le support (dashboard/rapport) est fonctionnel.
   Les hypothèses sont documentées.
   Les limites du modèle sont précisées.</t>
  </si>
  <si>
    <t>Sprint 9</t>
  </si>
  <si>
    <t>PDVW-14</t>
  </si>
  <si>
    <t>Choix du mode de restitution (rapport, dashboard, fichier)</t>
  </si>
  <si>
    <t>Choix du support le plus adapté pour présenter les prévisions aux utilisateurs.</t>
  </si>
  <si>
    <t>Mise à disposition des prévisions générées</t>
  </si>
  <si>
    <t>Mise à disposition des prévisions afin qu’elles soient accessibles aux décideurs.</t>
  </si>
  <si>
    <t>Documentation du fonctionnement du modèle</t>
  </si>
  <si>
    <t>Documentation du fonctionnement du modèle pour faciliter sa compréhension et son utilisation.</t>
  </si>
  <si>
    <t>Définition des limites et hypothèses du modèle</t>
  </si>
  <si>
    <t>Identification et documentation des hypothèses et limites du modèle de prévision.</t>
  </si>
  <si>
    <t>Générer des prévisions de ventes pour la planification</t>
  </si>
  <si>
    <t>En tant que Directeur de Magasin je veux obtenir des prévisions hebdomadaires de ventes pour mon magasin et mes départements afin de planifier efficacement mes stocks et mes commandes</t>
  </si>
  <si>
    <t>Acceptance Criteria (AC)  :
   Les prévisions par magasin sont générées.
   Les prévisions par département sont détaillées.
   Les intervalles de confiance sont fournis.
   La méthodologie est documentée.</t>
  </si>
  <si>
    <t>Sprint 10</t>
  </si>
  <si>
    <t>PDVW-15</t>
  </si>
  <si>
    <t>Générer prévisions par magasin</t>
  </si>
  <si>
    <t>Produire prévisions hebdomadaires agrégées au niveau Store avec intervalles de confiance</t>
  </si>
  <si>
    <t>Générer prévisions par département</t>
  </si>
  <si>
    <t>Produire prévisions détaillées Store×Dept avec scores de fiabilité et ranking</t>
  </si>
  <si>
    <t>Documenter méthodologie prévisions</t>
  </si>
  <si>
    <t>Créer rapport avec méthodologie, hypothèses, limites et guide d'utilisation</t>
  </si>
  <si>
    <t>Créer un système de recommandations pour la gestion des stocks</t>
  </si>
  <si>
    <t>En tant que Gestionnaire de Stock je veux recevoir des recommandations de quantités à commander par département afin de minimiser les ruptures de stock et éviter les surstocks</t>
  </si>
  <si>
    <t>Acceptance Criteria (AC)  :
   Les niveaux optimaux sont calculés.
   Les alertes de rupture sont générées.
   Les recommandations sont exportables.
   Les calculs sont justifiés.</t>
  </si>
  <si>
    <t>Sprint 11</t>
  </si>
  <si>
    <t>PDVW-16</t>
  </si>
  <si>
    <t>Calculer niveaux de stock optimaux</t>
  </si>
  <si>
    <t>Calculer EOQ (Economic Order Quantity) et stock de sécurité par département</t>
  </si>
  <si>
    <t>Générer alertes de rupture</t>
  </si>
  <si>
    <t>Créer système d'alertes automatiques si probabilité rupture &gt; 20% dans 2 semaines</t>
  </si>
  <si>
    <t>Produire rapports recommandations</t>
  </si>
  <si>
    <t>Générer rapport hebdomadaire avec recommandations de commande (Excel/PDF)</t>
  </si>
  <si>
    <t>Développer un simulateur d'impact des promotions</t>
  </si>
  <si>
    <t>En tant que Responsable Marketing je veux simuler l'impact d'une promotion planifiée sur les ventes afin d'optimiser mon calendrier promotionnel et maximiser le ROI</t>
  </si>
  <si>
    <t>Acceptance Criteria (AC)  :
   L’interface permet la simulation.
   L’impact prévisionnel est calculé.
   Le ROI est estimé.
   Les scénarios sont comparables.</t>
  </si>
  <si>
    <t>Sprint 12</t>
  </si>
  <si>
    <t>PDVW-17</t>
  </si>
  <si>
    <t>Créer interface de simulation</t>
  </si>
  <si>
    <t>Développer interface pour saisir type MarkDown, pourcentage, période, départements</t>
  </si>
  <si>
    <t>Calculer impact prévisionnel</t>
  </si>
  <si>
    <t>Prédire ventes avec/sans promotion, calculer delta avec coefficients élasticité</t>
  </si>
  <si>
    <t>Estimer ROI et comparer scénarios</t>
  </si>
  <si>
    <t>Calculer ROI = (ventes additionnelles × marge) - coût, comparer 3 scénarios</t>
  </si>
  <si>
    <t>Créer un dashboard de visualisation et monitoring</t>
  </si>
  <si>
    <t>En tant que Directeur Régional je veux un tableau de bord interactif avec KPIs clés et visualisations afin de piloter la performance de ma région et prendre des décisions éclairées</t>
  </si>
  <si>
    <t>Acceptance Criteria (AC)  :
   Les KPIs sont visibles.
   Les visualisations sont interactives.
   Les filtres fonctionnent.
   Les données sont actualisées.</t>
  </si>
  <si>
    <t>Sprint 13</t>
  </si>
  <si>
    <t>PDVW-18</t>
  </si>
  <si>
    <t>Développer visualisations principales</t>
  </si>
  <si>
    <t>Créer graphiques: ventes prévues vs réelles, évolutions temporelles, comparaisons</t>
  </si>
  <si>
    <t>Créer cartes KPIs exécutifs</t>
  </si>
  <si>
    <t>Afficher KPIs: ventes totales, WMAE, taux rupture, ROI promos avec indicateurs</t>
  </si>
  <si>
    <t>Implémenter filtres et interactivité</t>
  </si>
  <si>
    <t>Ajouter filtres dynamiques (période, magasin, département), drill-down, export</t>
  </si>
  <si>
    <t>Assignee</t>
  </si>
  <si>
    <t>farid bandoui</t>
  </si>
  <si>
    <t>salsabil regragui</t>
  </si>
  <si>
    <t>ENNOUAR</t>
  </si>
  <si>
    <t>mohamed lamine Zoutat</t>
  </si>
  <si>
    <t>Anis Hemaida</t>
  </si>
  <si>
    <t>Abdennour Kerrouch</t>
  </si>
  <si>
    <t>Définir objectif 1: Prévision ventes par magasin et département</t>
  </si>
  <si>
    <t>Établir objectif de prédiction des ventes hebdomadaires pour chaque magasin et département avec niveau de précision cible &gt; 85% et horizon de prévision 1-12 semaines</t>
  </si>
  <si>
    <t>Définir objectif 2: Identification facteurs influençant ventes</t>
  </si>
  <si>
    <t>Établir objectif d'identifier et quantifier l'impact des promotions (MarkDowns), périodes de fêtes (Thanksgiving, Noël, etc.) et variables économiques (CPI, chômage, carburant) sur les ventes</t>
  </si>
  <si>
    <t>Définir objectif 3: Aide décision stocks, promotions et achats</t>
  </si>
  <si>
    <t>Réduire ruptures stock 20%, optimiser calendrier promotions (ROI +15%), améliorer planification commandes avec prévisions fiables</t>
  </si>
  <si>
    <t>Identification des valeurs incohérences</t>
  </si>
  <si>
    <t>Identifier les incohérences dans les données afin de déterminer les actions correctives à appliquer avant l’analyse.</t>
  </si>
  <si>
    <t>Traiter les valeurs manquantes</t>
  </si>
  <si>
    <t>Identifier et traiter les valeurs manquantes: imputation, interpolation temporelle, analyse impact sur qualité données</t>
  </si>
  <si>
    <t>Détecter et gérer les valeurs aberrantes</t>
  </si>
  <si>
    <t>Identifier outliers dans Weekly_Sales (méthode IQR), analyser causes (promotions exceptionnelles, erreurs saisie), décider stratégie (conservation, transformation, suppression)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</si>
</sst>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ont>
    <font>
      <b/>
      <sz val="11"/>
      <name val="Calibri"/>
    </font>
    <font>
      <b/>
      <sz val="10"/>
      <name val="Calibri"/>
    </font>
    <font>
      <sz val="10"/>
      <name val="Calibri"/>
    </font>
    <font>
      <sz val="8"/>
      <name val="Calibri"/>
      <family val="2"/>
      <scheme val="minor"/>
    </font>
  </fonts>
  <fills count="6">
    <fill>
      <patternFill patternType="none"/>
    </fill>
    <fill>
      <patternFill patternType="gray125"/>
    </fill>
    <fill>
      <patternFill patternType="solid">
        <fgColor rgb="FF366092"/>
        <bgColor rgb="FF366092"/>
      </patternFill>
    </fill>
    <fill>
      <patternFill patternType="solid">
        <fgColor rgb="FFFFC000"/>
        <bgColor rgb="FFFFC000"/>
      </patternFill>
    </fill>
    <fill>
      <patternFill patternType="solid">
        <fgColor rgb="FFC5E0B4"/>
        <bgColor rgb="FFC5E0B4"/>
      </patternFill>
    </fill>
    <fill>
      <patternFill patternType="solid">
        <fgColor rgb="FFF4F4F4"/>
        <bgColor rgb="FFF4F4F4"/>
      </patternFill>
    </fill>
  </fills>
  <borders count="4">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rgb="FF000000"/>
      </bottom>
      <diagonal/>
    </border>
  </borders>
  <cellStyleXfs count="1">
    <xf numFmtId="0" fontId="0" fillId="0" borderId="0"/>
  </cellStyleXfs>
  <cellXfs count="16">
    <xf numFmtId="0" fontId="0" fillId="0" borderId="0" xfId="0"/>
    <xf numFmtId="0" fontId="0" fillId="0" borderId="0" xfId="0" applyAlignment="1">
      <alignment vertical="center" wrapText="1"/>
    </xf>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vertical="center" wrapText="1"/>
    </xf>
    <xf numFmtId="0" fontId="4" fillId="5" borderId="1" xfId="0" applyFont="1" applyFill="1" applyBorder="1" applyAlignment="1">
      <alignment horizontal="center" vertical="center" wrapText="1"/>
    </xf>
    <xf numFmtId="0" fontId="4" fillId="5" borderId="1" xfId="0" applyFont="1" applyFill="1" applyBorder="1" applyAlignment="1">
      <alignment vertical="center" wrapText="1"/>
    </xf>
    <xf numFmtId="0" fontId="2" fillId="3" borderId="1" xfId="0" applyFont="1" applyFill="1" applyBorder="1" applyAlignment="1">
      <alignment vertical="top" wrapText="1"/>
    </xf>
    <xf numFmtId="0" fontId="0" fillId="0" borderId="0" xfId="0" applyAlignment="1">
      <alignment horizontal="center" vertical="center" wrapText="1"/>
    </xf>
    <xf numFmtId="0" fontId="0" fillId="0" borderId="0" xfId="0" applyAlignment="1">
      <alignment vertical="top" wrapText="1"/>
    </xf>
    <xf numFmtId="0" fontId="3" fillId="4" borderId="1" xfId="0" applyFont="1" applyFill="1" applyBorder="1" applyAlignment="1">
      <alignment vertical="top" wrapText="1"/>
    </xf>
    <xf numFmtId="0" fontId="3" fillId="4" borderId="2" xfId="0" applyFont="1" applyFill="1" applyBorder="1" applyAlignment="1">
      <alignment horizontal="center" vertical="top" wrapText="1"/>
    </xf>
    <xf numFmtId="0" fontId="3" fillId="4" borderId="0" xfId="0" applyFont="1" applyFill="1" applyBorder="1" applyAlignment="1">
      <alignment horizontal="center" vertical="top" wrapText="1"/>
    </xf>
    <xf numFmtId="0" fontId="3" fillId="4" borderId="3" xfId="0" applyFont="1" applyFill="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2"/>
  <sheetViews>
    <sheetView tabSelected="1" topLeftCell="A9" zoomScale="85" zoomScaleNormal="85" workbookViewId="0">
      <selection activeCell="D13" sqref="D13"/>
    </sheetView>
  </sheetViews>
  <sheetFormatPr baseColWidth="10" defaultColWidth="8.88671875" defaultRowHeight="14.4" x14ac:dyDescent="0.3"/>
  <cols>
    <col min="1" max="2" width="18.5546875" style="10" customWidth="1"/>
    <col min="3" max="3" width="18.5546875" style="1" customWidth="1"/>
    <col min="4" max="4" width="61.44140625" style="1" customWidth="1"/>
    <col min="5" max="5" width="45.109375" style="11" customWidth="1"/>
    <col min="6" max="9" width="18.5546875" style="10" customWidth="1"/>
    <col min="10" max="10" width="18.5546875" style="1" customWidth="1"/>
    <col min="11" max="16384" width="8.88671875" style="1"/>
  </cols>
  <sheetData>
    <row r="1" spans="1:10" ht="28.8" x14ac:dyDescent="0.3">
      <c r="A1" s="2" t="s">
        <v>0</v>
      </c>
      <c r="B1" s="2" t="s">
        <v>1</v>
      </c>
      <c r="C1" s="2" t="s">
        <v>2</v>
      </c>
      <c r="D1" s="2" t="s">
        <v>3</v>
      </c>
      <c r="E1" s="2" t="s">
        <v>4</v>
      </c>
      <c r="F1" s="2" t="s">
        <v>5</v>
      </c>
      <c r="G1" s="2" t="s">
        <v>6</v>
      </c>
      <c r="H1" s="2" t="s">
        <v>7</v>
      </c>
      <c r="I1" s="2" t="s">
        <v>8</v>
      </c>
      <c r="J1" s="2" t="s">
        <v>9</v>
      </c>
    </row>
    <row r="2" spans="1:10" ht="129.6" x14ac:dyDescent="0.3">
      <c r="A2" s="3" t="s">
        <v>10</v>
      </c>
      <c r="B2" s="3" t="s">
        <v>11</v>
      </c>
      <c r="C2" s="4" t="s">
        <v>12</v>
      </c>
      <c r="D2" s="4" t="s">
        <v>13</v>
      </c>
      <c r="E2" s="9" t="s">
        <v>14</v>
      </c>
      <c r="F2" s="3" t="s">
        <v>15</v>
      </c>
      <c r="G2" s="3"/>
      <c r="H2" s="3">
        <f>SUM(H3,H7,H11,H19,H23,H28)</f>
        <v>42</v>
      </c>
      <c r="I2" s="3" t="s">
        <v>16</v>
      </c>
      <c r="J2" s="3"/>
    </row>
    <row r="3" spans="1:10" ht="41.4" x14ac:dyDescent="0.3">
      <c r="A3" s="5" t="s">
        <v>17</v>
      </c>
      <c r="B3" s="5" t="s">
        <v>11</v>
      </c>
      <c r="C3" s="6" t="s">
        <v>18</v>
      </c>
      <c r="D3" s="6" t="s">
        <v>19</v>
      </c>
      <c r="E3" s="12" t="s">
        <v>20</v>
      </c>
      <c r="F3" s="5" t="s">
        <v>15</v>
      </c>
      <c r="G3" s="5" t="s">
        <v>21</v>
      </c>
      <c r="H3" s="5">
        <v>5</v>
      </c>
      <c r="I3" s="5" t="s">
        <v>22</v>
      </c>
      <c r="J3" s="5" t="s">
        <v>23</v>
      </c>
    </row>
    <row r="4" spans="1:10" ht="41.4" x14ac:dyDescent="0.3">
      <c r="A4" s="7" t="s">
        <v>24</v>
      </c>
      <c r="B4" s="7" t="s">
        <v>11</v>
      </c>
      <c r="C4" s="8" t="s">
        <v>25</v>
      </c>
      <c r="D4" s="8" t="s">
        <v>26</v>
      </c>
      <c r="E4" s="12"/>
      <c r="F4" s="7" t="s">
        <v>15</v>
      </c>
      <c r="G4" s="7" t="s">
        <v>21</v>
      </c>
      <c r="H4" s="7"/>
      <c r="I4" s="7" t="s">
        <v>22</v>
      </c>
      <c r="J4" s="7" t="s">
        <v>27</v>
      </c>
    </row>
    <row r="5" spans="1:10" ht="55.2" x14ac:dyDescent="0.3">
      <c r="A5" s="7" t="s">
        <v>24</v>
      </c>
      <c r="B5" s="7" t="s">
        <v>11</v>
      </c>
      <c r="C5" s="8" t="s">
        <v>28</v>
      </c>
      <c r="D5" s="8" t="s">
        <v>29</v>
      </c>
      <c r="E5" s="12"/>
      <c r="F5" s="7" t="s">
        <v>15</v>
      </c>
      <c r="G5" s="7" t="s">
        <v>21</v>
      </c>
      <c r="H5" s="7"/>
      <c r="I5" s="7" t="s">
        <v>22</v>
      </c>
      <c r="J5" s="7" t="s">
        <v>30</v>
      </c>
    </row>
    <row r="6" spans="1:10" ht="41.4" x14ac:dyDescent="0.3">
      <c r="A6" s="7" t="s">
        <v>24</v>
      </c>
      <c r="B6" s="7" t="s">
        <v>11</v>
      </c>
      <c r="C6" s="8" t="s">
        <v>31</v>
      </c>
      <c r="D6" s="8" t="s">
        <v>32</v>
      </c>
      <c r="E6" s="12"/>
      <c r="F6" s="7" t="s">
        <v>15</v>
      </c>
      <c r="G6" s="7" t="s">
        <v>21</v>
      </c>
      <c r="H6" s="7"/>
      <c r="I6" s="7" t="s">
        <v>22</v>
      </c>
      <c r="J6" s="7" t="s">
        <v>33</v>
      </c>
    </row>
    <row r="7" spans="1:10" ht="96.6" customHeight="1" x14ac:dyDescent="0.3">
      <c r="A7" s="5" t="s">
        <v>17</v>
      </c>
      <c r="B7" s="5" t="s">
        <v>11</v>
      </c>
      <c r="C7" s="6" t="s">
        <v>34</v>
      </c>
      <c r="D7" s="6" t="s">
        <v>35</v>
      </c>
      <c r="E7" s="13" t="s">
        <v>36</v>
      </c>
      <c r="F7" s="5" t="s">
        <v>15</v>
      </c>
      <c r="G7" s="5" t="s">
        <v>21</v>
      </c>
      <c r="H7" s="5">
        <v>5</v>
      </c>
      <c r="I7" s="5" t="s">
        <v>37</v>
      </c>
      <c r="J7" s="5" t="s">
        <v>38</v>
      </c>
    </row>
    <row r="8" spans="1:10" customFormat="1" ht="55.2" x14ac:dyDescent="0.3">
      <c r="A8" s="7" t="s">
        <v>24</v>
      </c>
      <c r="B8" s="7" t="s">
        <v>11</v>
      </c>
      <c r="C8" s="7" t="s">
        <v>218</v>
      </c>
      <c r="D8" s="7" t="s">
        <v>219</v>
      </c>
      <c r="E8" s="14"/>
      <c r="F8" s="7" t="s">
        <v>15</v>
      </c>
      <c r="G8" s="7" t="s">
        <v>21</v>
      </c>
      <c r="H8" s="7"/>
      <c r="I8" s="7" t="s">
        <v>37</v>
      </c>
      <c r="J8" s="7" t="s">
        <v>41</v>
      </c>
    </row>
    <row r="9" spans="1:10" customFormat="1" ht="41.4" x14ac:dyDescent="0.3">
      <c r="A9" s="7" t="s">
        <v>24</v>
      </c>
      <c r="B9" s="7" t="s">
        <v>11</v>
      </c>
      <c r="C9" s="7" t="s">
        <v>220</v>
      </c>
      <c r="D9" s="7" t="s">
        <v>221</v>
      </c>
      <c r="E9" s="14"/>
      <c r="F9" s="7" t="s">
        <v>15</v>
      </c>
      <c r="G9" s="7" t="s">
        <v>21</v>
      </c>
      <c r="H9" s="7"/>
      <c r="I9" s="7" t="s">
        <v>37</v>
      </c>
      <c r="J9" s="7" t="s">
        <v>23</v>
      </c>
    </row>
    <row r="10" spans="1:10" customFormat="1" ht="41.4" x14ac:dyDescent="0.3">
      <c r="A10" s="7" t="s">
        <v>24</v>
      </c>
      <c r="B10" s="7" t="s">
        <v>11</v>
      </c>
      <c r="C10" s="7" t="s">
        <v>222</v>
      </c>
      <c r="D10" s="7" t="s">
        <v>223</v>
      </c>
      <c r="E10" s="15"/>
      <c r="F10" s="7" t="s">
        <v>15</v>
      </c>
      <c r="G10" s="7" t="s">
        <v>21</v>
      </c>
      <c r="H10" s="7"/>
      <c r="I10" s="7" t="s">
        <v>37</v>
      </c>
      <c r="J10" s="7" t="s">
        <v>27</v>
      </c>
    </row>
    <row r="11" spans="1:10" ht="96.6" x14ac:dyDescent="0.3">
      <c r="A11" s="5" t="s">
        <v>17</v>
      </c>
      <c r="B11" s="5" t="s">
        <v>11</v>
      </c>
      <c r="C11" s="6" t="s">
        <v>46</v>
      </c>
      <c r="D11" s="6" t="s">
        <v>47</v>
      </c>
      <c r="E11" s="12" t="s">
        <v>48</v>
      </c>
      <c r="F11" s="5" t="s">
        <v>49</v>
      </c>
      <c r="G11" s="5" t="s">
        <v>50</v>
      </c>
      <c r="H11" s="5">
        <v>3</v>
      </c>
      <c r="I11" s="5" t="s">
        <v>51</v>
      </c>
      <c r="J11" s="5" t="s">
        <v>30</v>
      </c>
    </row>
    <row r="12" spans="1:10" ht="41.4" x14ac:dyDescent="0.3">
      <c r="A12" s="7" t="s">
        <v>24</v>
      </c>
      <c r="B12" s="7" t="s">
        <v>11</v>
      </c>
      <c r="C12" s="8" t="s">
        <v>52</v>
      </c>
      <c r="D12" s="8" t="s">
        <v>53</v>
      </c>
      <c r="E12" s="12"/>
      <c r="F12" s="7" t="s">
        <v>54</v>
      </c>
      <c r="G12" s="7" t="s">
        <v>50</v>
      </c>
      <c r="H12" s="7"/>
      <c r="I12" s="7" t="s">
        <v>51</v>
      </c>
      <c r="J12" s="7" t="s">
        <v>33</v>
      </c>
    </row>
    <row r="13" spans="1:10" ht="41.4" x14ac:dyDescent="0.3">
      <c r="A13" s="7" t="s">
        <v>24</v>
      </c>
      <c r="B13" s="7" t="s">
        <v>11</v>
      </c>
      <c r="C13" s="7" t="s">
        <v>55</v>
      </c>
      <c r="D13" s="7" t="s">
        <v>56</v>
      </c>
      <c r="E13" s="12"/>
      <c r="F13" s="7" t="s">
        <v>54</v>
      </c>
      <c r="G13" s="7" t="s">
        <v>50</v>
      </c>
      <c r="H13" s="7"/>
      <c r="I13" s="7" t="s">
        <v>51</v>
      </c>
      <c r="J13" s="7" t="s">
        <v>38</v>
      </c>
    </row>
    <row r="14" spans="1:10" customFormat="1" ht="41.4" x14ac:dyDescent="0.3">
      <c r="A14" s="7" t="s">
        <v>24</v>
      </c>
      <c r="B14" s="7" t="s">
        <v>11</v>
      </c>
      <c r="C14" s="7" t="s">
        <v>224</v>
      </c>
      <c r="D14" s="7" t="s">
        <v>225</v>
      </c>
      <c r="E14" s="12"/>
      <c r="F14" s="7" t="s">
        <v>54</v>
      </c>
      <c r="G14" s="7" t="s">
        <v>50</v>
      </c>
      <c r="H14" s="7"/>
      <c r="I14" s="7" t="s">
        <v>51</v>
      </c>
      <c r="J14" s="7" t="s">
        <v>41</v>
      </c>
    </row>
    <row r="15" spans="1:10" customFormat="1" ht="41.4" x14ac:dyDescent="0.3">
      <c r="A15" s="7" t="s">
        <v>24</v>
      </c>
      <c r="B15" s="7" t="s">
        <v>11</v>
      </c>
      <c r="C15" s="7" t="s">
        <v>226</v>
      </c>
      <c r="D15" s="7" t="s">
        <v>227</v>
      </c>
      <c r="E15" s="12"/>
      <c r="F15" s="7" t="s">
        <v>49</v>
      </c>
      <c r="G15" s="7" t="s">
        <v>50</v>
      </c>
      <c r="H15" s="7"/>
      <c r="I15" s="7" t="s">
        <v>51</v>
      </c>
      <c r="J15" s="7" t="s">
        <v>23</v>
      </c>
    </row>
    <row r="16" spans="1:10" customFormat="1" ht="41.4" x14ac:dyDescent="0.3">
      <c r="A16" s="7" t="s">
        <v>24</v>
      </c>
      <c r="B16" s="7" t="s">
        <v>11</v>
      </c>
      <c r="C16" s="7" t="s">
        <v>228</v>
      </c>
      <c r="D16" s="7" t="s">
        <v>229</v>
      </c>
      <c r="E16" s="12"/>
      <c r="F16" s="7" t="s">
        <v>49</v>
      </c>
      <c r="G16" s="7" t="s">
        <v>50</v>
      </c>
      <c r="H16" s="7"/>
      <c r="I16" s="7" t="s">
        <v>51</v>
      </c>
      <c r="J16" s="7" t="s">
        <v>30</v>
      </c>
    </row>
    <row r="17" spans="1:10" ht="41.4" x14ac:dyDescent="0.3">
      <c r="A17" s="7" t="s">
        <v>24</v>
      </c>
      <c r="B17" s="7" t="s">
        <v>11</v>
      </c>
      <c r="C17" s="7" t="s">
        <v>59</v>
      </c>
      <c r="D17" s="7" t="s">
        <v>60</v>
      </c>
      <c r="E17" s="12"/>
      <c r="F17" s="7" t="s">
        <v>49</v>
      </c>
      <c r="G17" s="7" t="s">
        <v>50</v>
      </c>
      <c r="H17" s="7"/>
      <c r="I17" s="7" t="s">
        <v>51</v>
      </c>
      <c r="J17" s="7" t="s">
        <v>23</v>
      </c>
    </row>
    <row r="18" spans="1:10" ht="55.2" x14ac:dyDescent="0.3">
      <c r="A18" s="7" t="s">
        <v>24</v>
      </c>
      <c r="B18" s="7" t="s">
        <v>11</v>
      </c>
      <c r="C18" s="8" t="s">
        <v>61</v>
      </c>
      <c r="D18" s="8" t="s">
        <v>62</v>
      </c>
      <c r="E18" s="12"/>
      <c r="F18" s="7" t="s">
        <v>49</v>
      </c>
      <c r="G18" s="7" t="s">
        <v>50</v>
      </c>
      <c r="H18" s="7"/>
      <c r="I18" s="7" t="s">
        <v>51</v>
      </c>
      <c r="J18" s="7" t="s">
        <v>27</v>
      </c>
    </row>
    <row r="19" spans="1:10" ht="55.2" x14ac:dyDescent="0.3">
      <c r="A19" s="5" t="s">
        <v>17</v>
      </c>
      <c r="B19" s="5" t="s">
        <v>11</v>
      </c>
      <c r="C19" s="6" t="s">
        <v>63</v>
      </c>
      <c r="D19" s="6" t="s">
        <v>64</v>
      </c>
      <c r="E19" s="12" t="s">
        <v>65</v>
      </c>
      <c r="F19" s="5" t="s">
        <v>15</v>
      </c>
      <c r="G19" s="5" t="s">
        <v>66</v>
      </c>
      <c r="H19" s="5">
        <v>8</v>
      </c>
      <c r="I19" s="5" t="s">
        <v>67</v>
      </c>
      <c r="J19" s="5" t="s">
        <v>30</v>
      </c>
    </row>
    <row r="20" spans="1:10" ht="41.4" x14ac:dyDescent="0.3">
      <c r="A20" s="7" t="s">
        <v>24</v>
      </c>
      <c r="B20" s="7" t="s">
        <v>11</v>
      </c>
      <c r="C20" s="8" t="s">
        <v>68</v>
      </c>
      <c r="D20" s="8" t="s">
        <v>69</v>
      </c>
      <c r="E20" s="12"/>
      <c r="F20" s="7" t="s">
        <v>15</v>
      </c>
      <c r="G20" s="7" t="s">
        <v>66</v>
      </c>
      <c r="H20" s="7"/>
      <c r="I20" s="7" t="s">
        <v>67</v>
      </c>
      <c r="J20" s="7" t="s">
        <v>33</v>
      </c>
    </row>
    <row r="21" spans="1:10" ht="55.2" x14ac:dyDescent="0.3">
      <c r="A21" s="7" t="s">
        <v>24</v>
      </c>
      <c r="B21" s="7" t="s">
        <v>11</v>
      </c>
      <c r="C21" s="8" t="s">
        <v>70</v>
      </c>
      <c r="D21" s="8" t="s">
        <v>71</v>
      </c>
      <c r="E21" s="12"/>
      <c r="F21" s="7" t="s">
        <v>15</v>
      </c>
      <c r="G21" s="7" t="s">
        <v>66</v>
      </c>
      <c r="H21" s="7"/>
      <c r="I21" s="7" t="s">
        <v>67</v>
      </c>
      <c r="J21" s="7" t="s">
        <v>38</v>
      </c>
    </row>
    <row r="22" spans="1:10" ht="41.4" x14ac:dyDescent="0.3">
      <c r="A22" s="7" t="s">
        <v>24</v>
      </c>
      <c r="B22" s="7" t="s">
        <v>11</v>
      </c>
      <c r="C22" s="8" t="s">
        <v>72</v>
      </c>
      <c r="D22" s="8" t="s">
        <v>73</v>
      </c>
      <c r="E22" s="12"/>
      <c r="F22" s="7" t="s">
        <v>15</v>
      </c>
      <c r="G22" s="7" t="s">
        <v>66</v>
      </c>
      <c r="H22" s="7"/>
      <c r="I22" s="7" t="s">
        <v>67</v>
      </c>
      <c r="J22" s="7" t="s">
        <v>41</v>
      </c>
    </row>
    <row r="23" spans="1:10" ht="41.4" x14ac:dyDescent="0.3">
      <c r="A23" s="5" t="s">
        <v>17</v>
      </c>
      <c r="B23" s="5" t="s">
        <v>11</v>
      </c>
      <c r="C23" s="6" t="s">
        <v>74</v>
      </c>
      <c r="D23" s="6" t="s">
        <v>75</v>
      </c>
      <c r="E23" s="12" t="s">
        <v>76</v>
      </c>
      <c r="F23" s="5" t="s">
        <v>15</v>
      </c>
      <c r="G23" s="5" t="s">
        <v>77</v>
      </c>
      <c r="H23" s="5">
        <v>8</v>
      </c>
      <c r="I23" s="5" t="s">
        <v>78</v>
      </c>
      <c r="J23" s="5" t="s">
        <v>23</v>
      </c>
    </row>
    <row r="24" spans="1:10" ht="41.4" x14ac:dyDescent="0.3">
      <c r="A24" s="7" t="s">
        <v>24</v>
      </c>
      <c r="B24" s="7" t="s">
        <v>11</v>
      </c>
      <c r="C24" s="8" t="s">
        <v>79</v>
      </c>
      <c r="D24" s="8" t="s">
        <v>80</v>
      </c>
      <c r="E24" s="12"/>
      <c r="F24" s="7" t="s">
        <v>15</v>
      </c>
      <c r="G24" s="7" t="s">
        <v>77</v>
      </c>
      <c r="H24" s="7"/>
      <c r="I24" s="7" t="s">
        <v>78</v>
      </c>
      <c r="J24" s="7" t="s">
        <v>27</v>
      </c>
    </row>
    <row r="25" spans="1:10" ht="41.4" x14ac:dyDescent="0.3">
      <c r="A25" s="7" t="s">
        <v>24</v>
      </c>
      <c r="B25" s="7" t="s">
        <v>11</v>
      </c>
      <c r="C25" s="8" t="s">
        <v>81</v>
      </c>
      <c r="D25" s="8" t="s">
        <v>82</v>
      </c>
      <c r="E25" s="12"/>
      <c r="F25" s="7" t="s">
        <v>15</v>
      </c>
      <c r="G25" s="7" t="s">
        <v>77</v>
      </c>
      <c r="H25" s="7"/>
      <c r="I25" s="7" t="s">
        <v>78</v>
      </c>
      <c r="J25" s="7" t="s">
        <v>30</v>
      </c>
    </row>
    <row r="26" spans="1:10" ht="41.4" x14ac:dyDescent="0.3">
      <c r="A26" s="7" t="s">
        <v>24</v>
      </c>
      <c r="B26" s="7" t="s">
        <v>11</v>
      </c>
      <c r="C26" s="8" t="s">
        <v>83</v>
      </c>
      <c r="D26" s="8" t="s">
        <v>84</v>
      </c>
      <c r="E26" s="12"/>
      <c r="F26" s="7" t="s">
        <v>15</v>
      </c>
      <c r="G26" s="7" t="s">
        <v>77</v>
      </c>
      <c r="H26" s="7"/>
      <c r="I26" s="7" t="s">
        <v>78</v>
      </c>
      <c r="J26" s="7" t="s">
        <v>33</v>
      </c>
    </row>
    <row r="27" spans="1:10" ht="41.4" x14ac:dyDescent="0.3">
      <c r="A27" s="7" t="s">
        <v>24</v>
      </c>
      <c r="B27" s="7" t="s">
        <v>11</v>
      </c>
      <c r="C27" s="8" t="s">
        <v>85</v>
      </c>
      <c r="D27" s="8" t="s">
        <v>86</v>
      </c>
      <c r="E27" s="12"/>
      <c r="F27" s="7" t="s">
        <v>15</v>
      </c>
      <c r="G27" s="7" t="s">
        <v>77</v>
      </c>
      <c r="H27" s="7"/>
      <c r="I27" s="7" t="s">
        <v>78</v>
      </c>
      <c r="J27" s="7" t="s">
        <v>38</v>
      </c>
    </row>
    <row r="28" spans="1:10" ht="41.4" x14ac:dyDescent="0.3">
      <c r="A28" s="5" t="s">
        <v>17</v>
      </c>
      <c r="B28" s="5" t="s">
        <v>11</v>
      </c>
      <c r="C28" s="6" t="s">
        <v>87</v>
      </c>
      <c r="D28" s="6" t="s">
        <v>88</v>
      </c>
      <c r="E28" s="12" t="s">
        <v>89</v>
      </c>
      <c r="F28" s="5" t="s">
        <v>15</v>
      </c>
      <c r="G28" s="5" t="s">
        <v>90</v>
      </c>
      <c r="H28" s="5">
        <v>13</v>
      </c>
      <c r="I28" s="5" t="s">
        <v>91</v>
      </c>
      <c r="J28" s="5" t="s">
        <v>41</v>
      </c>
    </row>
    <row r="29" spans="1:10" ht="41.4" x14ac:dyDescent="0.3">
      <c r="A29" s="7" t="s">
        <v>24</v>
      </c>
      <c r="B29" s="7" t="s">
        <v>11</v>
      </c>
      <c r="C29" s="8" t="s">
        <v>92</v>
      </c>
      <c r="D29" s="8" t="s">
        <v>93</v>
      </c>
      <c r="E29" s="12"/>
      <c r="F29" s="7" t="s">
        <v>15</v>
      </c>
      <c r="G29" s="7" t="s">
        <v>90</v>
      </c>
      <c r="H29" s="7"/>
      <c r="I29" s="7" t="s">
        <v>91</v>
      </c>
      <c r="J29" s="7" t="s">
        <v>23</v>
      </c>
    </row>
    <row r="30" spans="1:10" ht="41.4" x14ac:dyDescent="0.3">
      <c r="A30" s="7" t="s">
        <v>24</v>
      </c>
      <c r="B30" s="7" t="s">
        <v>11</v>
      </c>
      <c r="C30" s="8" t="s">
        <v>94</v>
      </c>
      <c r="D30" s="8" t="s">
        <v>95</v>
      </c>
      <c r="E30" s="12"/>
      <c r="F30" s="7" t="s">
        <v>15</v>
      </c>
      <c r="G30" s="7" t="s">
        <v>90</v>
      </c>
      <c r="H30" s="7"/>
      <c r="I30" s="7" t="s">
        <v>91</v>
      </c>
      <c r="J30" s="7" t="s">
        <v>27</v>
      </c>
    </row>
    <row r="31" spans="1:10" ht="41.4" x14ac:dyDescent="0.3">
      <c r="A31" s="7" t="s">
        <v>24</v>
      </c>
      <c r="B31" s="7" t="s">
        <v>11</v>
      </c>
      <c r="C31" s="8" t="s">
        <v>96</v>
      </c>
      <c r="D31" s="8" t="s">
        <v>97</v>
      </c>
      <c r="E31" s="12"/>
      <c r="F31" s="7" t="s">
        <v>15</v>
      </c>
      <c r="G31" s="7" t="s">
        <v>90</v>
      </c>
      <c r="H31" s="7"/>
      <c r="I31" s="7" t="s">
        <v>91</v>
      </c>
      <c r="J31" s="7" t="s">
        <v>30</v>
      </c>
    </row>
    <row r="32" spans="1:10" ht="129.6" x14ac:dyDescent="0.3">
      <c r="A32" s="3" t="s">
        <v>10</v>
      </c>
      <c r="B32" s="3" t="s">
        <v>98</v>
      </c>
      <c r="C32" s="4" t="s">
        <v>98</v>
      </c>
      <c r="D32" s="4" t="s">
        <v>99</v>
      </c>
      <c r="E32" s="9" t="s">
        <v>100</v>
      </c>
      <c r="F32" s="3" t="s">
        <v>15</v>
      </c>
      <c r="G32" s="3"/>
      <c r="H32" s="3">
        <f>SUM(H33,H37,H42,H47)</f>
        <v>26</v>
      </c>
      <c r="I32" s="3" t="s">
        <v>101</v>
      </c>
      <c r="J32" s="3" t="s">
        <v>33</v>
      </c>
    </row>
    <row r="33" spans="1:10" ht="45.75" customHeight="1" x14ac:dyDescent="0.3">
      <c r="A33" s="5" t="s">
        <v>17</v>
      </c>
      <c r="B33" s="5" t="s">
        <v>98</v>
      </c>
      <c r="C33" s="6" t="s">
        <v>102</v>
      </c>
      <c r="D33" s="6" t="s">
        <v>103</v>
      </c>
      <c r="E33" s="12" t="s">
        <v>104</v>
      </c>
      <c r="F33" s="5" t="s">
        <v>15</v>
      </c>
      <c r="G33" s="5" t="s">
        <v>105</v>
      </c>
      <c r="H33" s="5">
        <v>5</v>
      </c>
      <c r="I33" s="5" t="s">
        <v>106</v>
      </c>
      <c r="J33" s="5" t="s">
        <v>38</v>
      </c>
    </row>
    <row r="34" spans="1:10" ht="27.6" x14ac:dyDescent="0.3">
      <c r="A34" s="7" t="s">
        <v>24</v>
      </c>
      <c r="B34" s="7" t="s">
        <v>98</v>
      </c>
      <c r="C34" s="8" t="s">
        <v>107</v>
      </c>
      <c r="D34" s="8" t="s">
        <v>108</v>
      </c>
      <c r="E34" s="12"/>
      <c r="F34" s="7" t="s">
        <v>15</v>
      </c>
      <c r="G34" s="7" t="s">
        <v>105</v>
      </c>
      <c r="H34" s="7"/>
      <c r="I34" s="7" t="s">
        <v>106</v>
      </c>
      <c r="J34" s="7" t="s">
        <v>41</v>
      </c>
    </row>
    <row r="35" spans="1:10" ht="41.4" x14ac:dyDescent="0.3">
      <c r="A35" s="7" t="s">
        <v>24</v>
      </c>
      <c r="B35" s="7" t="s">
        <v>98</v>
      </c>
      <c r="C35" s="8" t="s">
        <v>109</v>
      </c>
      <c r="D35" s="8" t="s">
        <v>110</v>
      </c>
      <c r="E35" s="12"/>
      <c r="F35" s="7" t="s">
        <v>15</v>
      </c>
      <c r="G35" s="7" t="s">
        <v>105</v>
      </c>
      <c r="H35" s="7"/>
      <c r="I35" s="7" t="s">
        <v>106</v>
      </c>
      <c r="J35" s="7" t="s">
        <v>23</v>
      </c>
    </row>
    <row r="36" spans="1:10" ht="41.4" x14ac:dyDescent="0.3">
      <c r="A36" s="7" t="s">
        <v>24</v>
      </c>
      <c r="B36" s="7" t="s">
        <v>98</v>
      </c>
      <c r="C36" s="8" t="s">
        <v>111</v>
      </c>
      <c r="D36" s="8" t="s">
        <v>112</v>
      </c>
      <c r="E36" s="12"/>
      <c r="F36" s="7" t="s">
        <v>15</v>
      </c>
      <c r="G36" s="7" t="s">
        <v>105</v>
      </c>
      <c r="H36" s="7"/>
      <c r="I36" s="7" t="s">
        <v>106</v>
      </c>
      <c r="J36" s="7" t="s">
        <v>27</v>
      </c>
    </row>
    <row r="37" spans="1:10" ht="54" customHeight="1" x14ac:dyDescent="0.3">
      <c r="A37" s="5" t="s">
        <v>17</v>
      </c>
      <c r="B37" s="5" t="s">
        <v>98</v>
      </c>
      <c r="C37" s="6" t="s">
        <v>113</v>
      </c>
      <c r="D37" s="6" t="s">
        <v>114</v>
      </c>
      <c r="E37" s="12" t="s">
        <v>115</v>
      </c>
      <c r="F37" s="5" t="s">
        <v>15</v>
      </c>
      <c r="G37" s="5" t="s">
        <v>116</v>
      </c>
      <c r="H37" s="5">
        <v>8</v>
      </c>
      <c r="I37" s="5" t="s">
        <v>117</v>
      </c>
      <c r="J37" s="5" t="s">
        <v>30</v>
      </c>
    </row>
    <row r="38" spans="1:10" ht="41.4" x14ac:dyDescent="0.3">
      <c r="A38" s="7" t="s">
        <v>24</v>
      </c>
      <c r="B38" s="7" t="s">
        <v>98</v>
      </c>
      <c r="C38" s="8" t="s">
        <v>118</v>
      </c>
      <c r="D38" s="8" t="s">
        <v>119</v>
      </c>
      <c r="E38" s="12"/>
      <c r="F38" s="7" t="s">
        <v>15</v>
      </c>
      <c r="G38" s="7" t="s">
        <v>116</v>
      </c>
      <c r="H38" s="7"/>
      <c r="I38" s="7" t="s">
        <v>117</v>
      </c>
      <c r="J38" s="7" t="s">
        <v>33</v>
      </c>
    </row>
    <row r="39" spans="1:10" ht="41.4" x14ac:dyDescent="0.3">
      <c r="A39" s="7" t="s">
        <v>24</v>
      </c>
      <c r="B39" s="7" t="s">
        <v>98</v>
      </c>
      <c r="C39" s="8" t="s">
        <v>120</v>
      </c>
      <c r="D39" s="8" t="s">
        <v>121</v>
      </c>
      <c r="E39" s="12"/>
      <c r="F39" s="7" t="s">
        <v>15</v>
      </c>
      <c r="G39" s="7" t="s">
        <v>116</v>
      </c>
      <c r="H39" s="7"/>
      <c r="I39" s="7" t="s">
        <v>117</v>
      </c>
      <c r="J39" s="7" t="s">
        <v>38</v>
      </c>
    </row>
    <row r="40" spans="1:10" ht="27.6" x14ac:dyDescent="0.3">
      <c r="A40" s="7" t="s">
        <v>24</v>
      </c>
      <c r="B40" s="7" t="s">
        <v>98</v>
      </c>
      <c r="C40" s="8" t="s">
        <v>122</v>
      </c>
      <c r="D40" s="8" t="s">
        <v>123</v>
      </c>
      <c r="E40" s="12"/>
      <c r="F40" s="7" t="s">
        <v>15</v>
      </c>
      <c r="G40" s="7" t="s">
        <v>116</v>
      </c>
      <c r="H40" s="7"/>
      <c r="I40" s="7" t="s">
        <v>117</v>
      </c>
      <c r="J40" s="7" t="s">
        <v>41</v>
      </c>
    </row>
    <row r="41" spans="1:10" ht="27.6" x14ac:dyDescent="0.3">
      <c r="A41" s="7" t="s">
        <v>24</v>
      </c>
      <c r="B41" s="7" t="s">
        <v>98</v>
      </c>
      <c r="C41" s="8" t="s">
        <v>124</v>
      </c>
      <c r="D41" s="8" t="s">
        <v>125</v>
      </c>
      <c r="E41" s="12"/>
      <c r="F41" s="7" t="s">
        <v>15</v>
      </c>
      <c r="G41" s="7" t="s">
        <v>116</v>
      </c>
      <c r="H41" s="7"/>
      <c r="I41" s="7" t="s">
        <v>117</v>
      </c>
      <c r="J41" s="7" t="s">
        <v>23</v>
      </c>
    </row>
    <row r="42" spans="1:10" ht="30.75" customHeight="1" x14ac:dyDescent="0.3">
      <c r="A42" s="5" t="s">
        <v>17</v>
      </c>
      <c r="B42" s="5" t="s">
        <v>98</v>
      </c>
      <c r="C42" s="6" t="s">
        <v>126</v>
      </c>
      <c r="D42" s="6" t="s">
        <v>127</v>
      </c>
      <c r="E42" s="12" t="s">
        <v>128</v>
      </c>
      <c r="F42" s="5" t="s">
        <v>15</v>
      </c>
      <c r="G42" s="5" t="s">
        <v>129</v>
      </c>
      <c r="H42" s="5">
        <v>8</v>
      </c>
      <c r="I42" s="5" t="s">
        <v>130</v>
      </c>
      <c r="J42" s="5" t="s">
        <v>27</v>
      </c>
    </row>
    <row r="43" spans="1:10" ht="27.6" x14ac:dyDescent="0.3">
      <c r="A43" s="7" t="s">
        <v>24</v>
      </c>
      <c r="B43" s="7" t="s">
        <v>98</v>
      </c>
      <c r="C43" s="8" t="s">
        <v>131</v>
      </c>
      <c r="D43" s="8" t="s">
        <v>132</v>
      </c>
      <c r="E43" s="12"/>
      <c r="F43" s="7" t="s">
        <v>15</v>
      </c>
      <c r="G43" s="7" t="s">
        <v>129</v>
      </c>
      <c r="H43" s="7"/>
      <c r="I43" s="7" t="s">
        <v>130</v>
      </c>
      <c r="J43" s="7" t="s">
        <v>30</v>
      </c>
    </row>
    <row r="44" spans="1:10" ht="41.4" x14ac:dyDescent="0.3">
      <c r="A44" s="7" t="s">
        <v>24</v>
      </c>
      <c r="B44" s="7" t="s">
        <v>98</v>
      </c>
      <c r="C44" s="8" t="s">
        <v>133</v>
      </c>
      <c r="D44" s="8" t="s">
        <v>134</v>
      </c>
      <c r="E44" s="12"/>
      <c r="F44" s="7" t="s">
        <v>15</v>
      </c>
      <c r="G44" s="7" t="s">
        <v>129</v>
      </c>
      <c r="H44" s="7"/>
      <c r="I44" s="7" t="s">
        <v>130</v>
      </c>
      <c r="J44" s="7" t="s">
        <v>33</v>
      </c>
    </row>
    <row r="45" spans="1:10" ht="27.6" x14ac:dyDescent="0.3">
      <c r="A45" s="7" t="s">
        <v>24</v>
      </c>
      <c r="B45" s="7" t="s">
        <v>98</v>
      </c>
      <c r="C45" s="8" t="s">
        <v>135</v>
      </c>
      <c r="D45" s="8" t="s">
        <v>136</v>
      </c>
      <c r="E45" s="12"/>
      <c r="F45" s="7" t="s">
        <v>15</v>
      </c>
      <c r="G45" s="7" t="s">
        <v>129</v>
      </c>
      <c r="H45" s="7"/>
      <c r="I45" s="7" t="s">
        <v>130</v>
      </c>
      <c r="J45" s="7" t="s">
        <v>38</v>
      </c>
    </row>
    <row r="46" spans="1:10" ht="41.4" x14ac:dyDescent="0.3">
      <c r="A46" s="7" t="s">
        <v>24</v>
      </c>
      <c r="B46" s="7" t="s">
        <v>98</v>
      </c>
      <c r="C46" s="8" t="s">
        <v>137</v>
      </c>
      <c r="D46" s="8" t="s">
        <v>138</v>
      </c>
      <c r="E46" s="12"/>
      <c r="F46" s="7" t="s">
        <v>15</v>
      </c>
      <c r="G46" s="7" t="s">
        <v>129</v>
      </c>
      <c r="H46" s="7"/>
      <c r="I46" s="7" t="s">
        <v>130</v>
      </c>
      <c r="J46" s="7" t="s">
        <v>41</v>
      </c>
    </row>
    <row r="47" spans="1:10" ht="30.75" customHeight="1" x14ac:dyDescent="0.3">
      <c r="A47" s="5" t="s">
        <v>17</v>
      </c>
      <c r="B47" s="5" t="s">
        <v>98</v>
      </c>
      <c r="C47" s="6" t="s">
        <v>139</v>
      </c>
      <c r="D47" s="6" t="s">
        <v>140</v>
      </c>
      <c r="E47" s="12" t="s">
        <v>141</v>
      </c>
      <c r="F47" s="5" t="s">
        <v>15</v>
      </c>
      <c r="G47" s="5" t="s">
        <v>142</v>
      </c>
      <c r="H47" s="5">
        <v>5</v>
      </c>
      <c r="I47" s="5" t="s">
        <v>143</v>
      </c>
      <c r="J47" s="5" t="s">
        <v>23</v>
      </c>
    </row>
    <row r="48" spans="1:10" ht="41.4" x14ac:dyDescent="0.3">
      <c r="A48" s="7" t="s">
        <v>24</v>
      </c>
      <c r="B48" s="7" t="s">
        <v>98</v>
      </c>
      <c r="C48" s="8" t="s">
        <v>144</v>
      </c>
      <c r="D48" s="8" t="s">
        <v>145</v>
      </c>
      <c r="E48" s="12"/>
      <c r="F48" s="7" t="s">
        <v>15</v>
      </c>
      <c r="G48" s="7" t="s">
        <v>142</v>
      </c>
      <c r="H48" s="7"/>
      <c r="I48" s="7" t="s">
        <v>143</v>
      </c>
      <c r="J48" s="7" t="s">
        <v>27</v>
      </c>
    </row>
    <row r="49" spans="1:10" ht="27.6" x14ac:dyDescent="0.3">
      <c r="A49" s="7" t="s">
        <v>24</v>
      </c>
      <c r="B49" s="7" t="s">
        <v>98</v>
      </c>
      <c r="C49" s="8" t="s">
        <v>146</v>
      </c>
      <c r="D49" s="8" t="s">
        <v>147</v>
      </c>
      <c r="E49" s="12"/>
      <c r="F49" s="7" t="s">
        <v>15</v>
      </c>
      <c r="G49" s="7" t="s">
        <v>142</v>
      </c>
      <c r="H49" s="7"/>
      <c r="I49" s="7" t="s">
        <v>143</v>
      </c>
      <c r="J49" s="7" t="s">
        <v>30</v>
      </c>
    </row>
    <row r="50" spans="1:10" ht="27.6" x14ac:dyDescent="0.3">
      <c r="A50" s="7" t="s">
        <v>24</v>
      </c>
      <c r="B50" s="7" t="s">
        <v>98</v>
      </c>
      <c r="C50" s="8" t="s">
        <v>148</v>
      </c>
      <c r="D50" s="8" t="s">
        <v>149</v>
      </c>
      <c r="E50" s="12"/>
      <c r="F50" s="7" t="s">
        <v>15</v>
      </c>
      <c r="G50" s="7" t="s">
        <v>142</v>
      </c>
      <c r="H50" s="7"/>
      <c r="I50" s="7" t="s">
        <v>143</v>
      </c>
      <c r="J50" s="7" t="s">
        <v>33</v>
      </c>
    </row>
    <row r="51" spans="1:10" ht="129.6" x14ac:dyDescent="0.3">
      <c r="A51" s="3" t="s">
        <v>10</v>
      </c>
      <c r="B51" s="3" t="s">
        <v>150</v>
      </c>
      <c r="C51" s="4" t="s">
        <v>150</v>
      </c>
      <c r="D51" s="4" t="s">
        <v>151</v>
      </c>
      <c r="E51" s="9" t="s">
        <v>152</v>
      </c>
      <c r="F51" s="3" t="s">
        <v>49</v>
      </c>
      <c r="G51" s="3"/>
      <c r="H51" s="3">
        <f>SUM(H52,H57,H61,H65,H69)</f>
        <v>28</v>
      </c>
      <c r="I51" s="3" t="s">
        <v>153</v>
      </c>
      <c r="J51" s="3" t="s">
        <v>38</v>
      </c>
    </row>
    <row r="52" spans="1:10" ht="41.4" x14ac:dyDescent="0.3">
      <c r="A52" s="5" t="s">
        <v>17</v>
      </c>
      <c r="B52" s="5" t="s">
        <v>150</v>
      </c>
      <c r="C52" s="6" t="s">
        <v>154</v>
      </c>
      <c r="D52" s="6" t="s">
        <v>155</v>
      </c>
      <c r="E52" s="12" t="s">
        <v>156</v>
      </c>
      <c r="F52" s="5" t="s">
        <v>49</v>
      </c>
      <c r="G52" s="5" t="s">
        <v>157</v>
      </c>
      <c r="H52" s="5">
        <v>5</v>
      </c>
      <c r="I52" s="5" t="s">
        <v>158</v>
      </c>
      <c r="J52" s="5" t="s">
        <v>41</v>
      </c>
    </row>
    <row r="53" spans="1:10" ht="41.4" x14ac:dyDescent="0.3">
      <c r="A53" s="7" t="s">
        <v>24</v>
      </c>
      <c r="B53" s="7" t="s">
        <v>150</v>
      </c>
      <c r="C53" s="8" t="s">
        <v>159</v>
      </c>
      <c r="D53" s="8" t="s">
        <v>160</v>
      </c>
      <c r="E53" s="12"/>
      <c r="F53" s="7" t="s">
        <v>49</v>
      </c>
      <c r="G53" s="7" t="s">
        <v>157</v>
      </c>
      <c r="H53" s="7"/>
      <c r="I53" s="7" t="s">
        <v>158</v>
      </c>
      <c r="J53" s="7" t="s">
        <v>23</v>
      </c>
    </row>
    <row r="54" spans="1:10" ht="41.4" x14ac:dyDescent="0.3">
      <c r="A54" s="7" t="s">
        <v>24</v>
      </c>
      <c r="B54" s="7" t="s">
        <v>150</v>
      </c>
      <c r="C54" s="8" t="s">
        <v>161</v>
      </c>
      <c r="D54" s="8" t="s">
        <v>162</v>
      </c>
      <c r="E54" s="12"/>
      <c r="F54" s="7" t="s">
        <v>49</v>
      </c>
      <c r="G54" s="7" t="s">
        <v>157</v>
      </c>
      <c r="H54" s="7"/>
      <c r="I54" s="7" t="s">
        <v>158</v>
      </c>
      <c r="J54" s="7" t="s">
        <v>27</v>
      </c>
    </row>
    <row r="55" spans="1:10" ht="41.4" x14ac:dyDescent="0.3">
      <c r="A55" s="7" t="s">
        <v>24</v>
      </c>
      <c r="B55" s="7" t="s">
        <v>150</v>
      </c>
      <c r="C55" s="8" t="s">
        <v>163</v>
      </c>
      <c r="D55" s="8" t="s">
        <v>164</v>
      </c>
      <c r="E55" s="12"/>
      <c r="F55" s="7" t="s">
        <v>49</v>
      </c>
      <c r="G55" s="7" t="s">
        <v>157</v>
      </c>
      <c r="H55" s="7"/>
      <c r="I55" s="7" t="s">
        <v>158</v>
      </c>
      <c r="J55" s="7" t="s">
        <v>30</v>
      </c>
    </row>
    <row r="56" spans="1:10" ht="41.4" x14ac:dyDescent="0.3">
      <c r="A56" s="7" t="s">
        <v>24</v>
      </c>
      <c r="B56" s="7" t="s">
        <v>150</v>
      </c>
      <c r="C56" s="8" t="s">
        <v>165</v>
      </c>
      <c r="D56" s="8" t="s">
        <v>166</v>
      </c>
      <c r="E56" s="12"/>
      <c r="F56" s="7" t="s">
        <v>49</v>
      </c>
      <c r="G56" s="7" t="s">
        <v>157</v>
      </c>
      <c r="H56" s="7"/>
      <c r="I56" s="7" t="s">
        <v>158</v>
      </c>
      <c r="J56" s="7" t="s">
        <v>33</v>
      </c>
    </row>
    <row r="57" spans="1:10" ht="41.4" x14ac:dyDescent="0.3">
      <c r="A57" s="5" t="s">
        <v>17</v>
      </c>
      <c r="B57" s="5" t="s">
        <v>150</v>
      </c>
      <c r="C57" s="6" t="s">
        <v>167</v>
      </c>
      <c r="D57" s="6" t="s">
        <v>168</v>
      </c>
      <c r="E57" s="12" t="s">
        <v>169</v>
      </c>
      <c r="F57" s="5" t="s">
        <v>49</v>
      </c>
      <c r="G57" s="5" t="s">
        <v>170</v>
      </c>
      <c r="H57" s="5">
        <v>5</v>
      </c>
      <c r="I57" s="5" t="s">
        <v>171</v>
      </c>
      <c r="J57" s="5" t="s">
        <v>38</v>
      </c>
    </row>
    <row r="58" spans="1:10" ht="41.4" x14ac:dyDescent="0.3">
      <c r="A58" s="7" t="s">
        <v>24</v>
      </c>
      <c r="B58" s="7" t="s">
        <v>150</v>
      </c>
      <c r="C58" s="8" t="s">
        <v>172</v>
      </c>
      <c r="D58" s="8" t="s">
        <v>173</v>
      </c>
      <c r="E58" s="12"/>
      <c r="F58" s="7" t="s">
        <v>49</v>
      </c>
      <c r="G58" s="7" t="s">
        <v>170</v>
      </c>
      <c r="H58" s="7"/>
      <c r="I58" s="7" t="s">
        <v>171</v>
      </c>
      <c r="J58" s="7" t="s">
        <v>41</v>
      </c>
    </row>
    <row r="59" spans="1:10" ht="41.4" x14ac:dyDescent="0.3">
      <c r="A59" s="7" t="s">
        <v>24</v>
      </c>
      <c r="B59" s="7" t="s">
        <v>150</v>
      </c>
      <c r="C59" s="8" t="s">
        <v>174</v>
      </c>
      <c r="D59" s="8" t="s">
        <v>175</v>
      </c>
      <c r="E59" s="12"/>
      <c r="F59" s="7" t="s">
        <v>49</v>
      </c>
      <c r="G59" s="7" t="s">
        <v>170</v>
      </c>
      <c r="H59" s="7"/>
      <c r="I59" s="7" t="s">
        <v>171</v>
      </c>
      <c r="J59" s="7" t="s">
        <v>23</v>
      </c>
    </row>
    <row r="60" spans="1:10" ht="41.4" x14ac:dyDescent="0.3">
      <c r="A60" s="7" t="s">
        <v>24</v>
      </c>
      <c r="B60" s="7" t="s">
        <v>150</v>
      </c>
      <c r="C60" s="8" t="s">
        <v>176</v>
      </c>
      <c r="D60" s="8" t="s">
        <v>177</v>
      </c>
      <c r="E60" s="12"/>
      <c r="F60" s="7" t="s">
        <v>49</v>
      </c>
      <c r="G60" s="7" t="s">
        <v>170</v>
      </c>
      <c r="H60" s="7"/>
      <c r="I60" s="7" t="s">
        <v>171</v>
      </c>
      <c r="J60" s="7" t="s">
        <v>27</v>
      </c>
    </row>
    <row r="61" spans="1:10" ht="55.2" x14ac:dyDescent="0.3">
      <c r="A61" s="5" t="s">
        <v>17</v>
      </c>
      <c r="B61" s="5" t="s">
        <v>150</v>
      </c>
      <c r="C61" s="6" t="s">
        <v>178</v>
      </c>
      <c r="D61" s="6" t="s">
        <v>179</v>
      </c>
      <c r="E61" s="12" t="s">
        <v>180</v>
      </c>
      <c r="F61" s="5" t="s">
        <v>49</v>
      </c>
      <c r="G61" s="5" t="s">
        <v>181</v>
      </c>
      <c r="H61" s="5">
        <v>5</v>
      </c>
      <c r="I61" s="5" t="s">
        <v>182</v>
      </c>
      <c r="J61" s="5" t="s">
        <v>30</v>
      </c>
    </row>
    <row r="62" spans="1:10" ht="41.4" x14ac:dyDescent="0.3">
      <c r="A62" s="7" t="s">
        <v>24</v>
      </c>
      <c r="B62" s="7" t="s">
        <v>150</v>
      </c>
      <c r="C62" s="8" t="s">
        <v>183</v>
      </c>
      <c r="D62" s="8" t="s">
        <v>184</v>
      </c>
      <c r="E62" s="12"/>
      <c r="F62" s="7" t="s">
        <v>49</v>
      </c>
      <c r="G62" s="7" t="s">
        <v>181</v>
      </c>
      <c r="H62" s="7"/>
      <c r="I62" s="7" t="s">
        <v>182</v>
      </c>
      <c r="J62" s="7" t="s">
        <v>33</v>
      </c>
    </row>
    <row r="63" spans="1:10" ht="41.4" x14ac:dyDescent="0.3">
      <c r="A63" s="7" t="s">
        <v>24</v>
      </c>
      <c r="B63" s="7" t="s">
        <v>150</v>
      </c>
      <c r="C63" s="8" t="s">
        <v>185</v>
      </c>
      <c r="D63" s="8" t="s">
        <v>186</v>
      </c>
      <c r="E63" s="12"/>
      <c r="F63" s="7" t="s">
        <v>49</v>
      </c>
      <c r="G63" s="7" t="s">
        <v>181</v>
      </c>
      <c r="H63" s="7"/>
      <c r="I63" s="7" t="s">
        <v>182</v>
      </c>
      <c r="J63" s="7" t="s">
        <v>38</v>
      </c>
    </row>
    <row r="64" spans="1:10" ht="41.4" x14ac:dyDescent="0.3">
      <c r="A64" s="7" t="s">
        <v>24</v>
      </c>
      <c r="B64" s="7" t="s">
        <v>150</v>
      </c>
      <c r="C64" s="8" t="s">
        <v>187</v>
      </c>
      <c r="D64" s="8" t="s">
        <v>188</v>
      </c>
      <c r="E64" s="12"/>
      <c r="F64" s="7" t="s">
        <v>49</v>
      </c>
      <c r="G64" s="7" t="s">
        <v>181</v>
      </c>
      <c r="H64" s="7"/>
      <c r="I64" s="7" t="s">
        <v>182</v>
      </c>
      <c r="J64" s="7" t="s">
        <v>41</v>
      </c>
    </row>
    <row r="65" spans="1:10" ht="41.4" x14ac:dyDescent="0.3">
      <c r="A65" s="5" t="s">
        <v>17</v>
      </c>
      <c r="B65" s="5" t="s">
        <v>150</v>
      </c>
      <c r="C65" s="6" t="s">
        <v>189</v>
      </c>
      <c r="D65" s="6" t="s">
        <v>190</v>
      </c>
      <c r="E65" s="12" t="s">
        <v>191</v>
      </c>
      <c r="F65" s="5" t="s">
        <v>49</v>
      </c>
      <c r="G65" s="5" t="s">
        <v>192</v>
      </c>
      <c r="H65" s="5">
        <v>5</v>
      </c>
      <c r="I65" s="5" t="s">
        <v>193</v>
      </c>
      <c r="J65" s="5" t="s">
        <v>23</v>
      </c>
    </row>
    <row r="66" spans="1:10" ht="41.4" x14ac:dyDescent="0.3">
      <c r="A66" s="7" t="s">
        <v>24</v>
      </c>
      <c r="B66" s="7" t="s">
        <v>150</v>
      </c>
      <c r="C66" s="8" t="s">
        <v>194</v>
      </c>
      <c r="D66" s="8" t="s">
        <v>195</v>
      </c>
      <c r="E66" s="12"/>
      <c r="F66" s="7" t="s">
        <v>49</v>
      </c>
      <c r="G66" s="7" t="s">
        <v>192</v>
      </c>
      <c r="H66" s="7"/>
      <c r="I66" s="7" t="s">
        <v>193</v>
      </c>
      <c r="J66" s="7" t="s">
        <v>27</v>
      </c>
    </row>
    <row r="67" spans="1:10" ht="41.4" x14ac:dyDescent="0.3">
      <c r="A67" s="7" t="s">
        <v>24</v>
      </c>
      <c r="B67" s="7" t="s">
        <v>150</v>
      </c>
      <c r="C67" s="8" t="s">
        <v>196</v>
      </c>
      <c r="D67" s="8" t="s">
        <v>197</v>
      </c>
      <c r="E67" s="12"/>
      <c r="F67" s="7" t="s">
        <v>49</v>
      </c>
      <c r="G67" s="7" t="s">
        <v>192</v>
      </c>
      <c r="H67" s="7"/>
      <c r="I67" s="7" t="s">
        <v>193</v>
      </c>
      <c r="J67" s="7" t="s">
        <v>30</v>
      </c>
    </row>
    <row r="68" spans="1:10" ht="41.4" x14ac:dyDescent="0.3">
      <c r="A68" s="7" t="s">
        <v>24</v>
      </c>
      <c r="B68" s="7" t="s">
        <v>150</v>
      </c>
      <c r="C68" s="8" t="s">
        <v>198</v>
      </c>
      <c r="D68" s="8" t="s">
        <v>199</v>
      </c>
      <c r="E68" s="12"/>
      <c r="F68" s="7" t="s">
        <v>49</v>
      </c>
      <c r="G68" s="7" t="s">
        <v>192</v>
      </c>
      <c r="H68" s="7"/>
      <c r="I68" s="7" t="s">
        <v>193</v>
      </c>
      <c r="J68" s="7" t="s">
        <v>33</v>
      </c>
    </row>
    <row r="69" spans="1:10" ht="41.4" x14ac:dyDescent="0.3">
      <c r="A69" s="5" t="s">
        <v>17</v>
      </c>
      <c r="B69" s="5" t="s">
        <v>150</v>
      </c>
      <c r="C69" s="6" t="s">
        <v>200</v>
      </c>
      <c r="D69" s="6" t="s">
        <v>201</v>
      </c>
      <c r="E69" s="12" t="s">
        <v>202</v>
      </c>
      <c r="F69" s="5" t="s">
        <v>49</v>
      </c>
      <c r="G69" s="5" t="s">
        <v>203</v>
      </c>
      <c r="H69" s="5">
        <v>8</v>
      </c>
      <c r="I69" s="5" t="s">
        <v>204</v>
      </c>
      <c r="J69" s="5" t="s">
        <v>38</v>
      </c>
    </row>
    <row r="70" spans="1:10" ht="41.4" x14ac:dyDescent="0.3">
      <c r="A70" s="7" t="s">
        <v>24</v>
      </c>
      <c r="B70" s="7" t="s">
        <v>150</v>
      </c>
      <c r="C70" s="8" t="s">
        <v>205</v>
      </c>
      <c r="D70" s="8" t="s">
        <v>206</v>
      </c>
      <c r="E70" s="12"/>
      <c r="F70" s="7" t="s">
        <v>49</v>
      </c>
      <c r="G70" s="7" t="s">
        <v>203</v>
      </c>
      <c r="H70" s="7"/>
      <c r="I70" s="7" t="s">
        <v>204</v>
      </c>
      <c r="J70" s="7" t="s">
        <v>41</v>
      </c>
    </row>
    <row r="71" spans="1:10" ht="41.4" x14ac:dyDescent="0.3">
      <c r="A71" s="7" t="s">
        <v>24</v>
      </c>
      <c r="B71" s="7" t="s">
        <v>150</v>
      </c>
      <c r="C71" s="8" t="s">
        <v>207</v>
      </c>
      <c r="D71" s="8" t="s">
        <v>208</v>
      </c>
      <c r="E71" s="12"/>
      <c r="F71" s="7" t="s">
        <v>49</v>
      </c>
      <c r="G71" s="7" t="s">
        <v>203</v>
      </c>
      <c r="H71" s="7"/>
      <c r="I71" s="7" t="s">
        <v>204</v>
      </c>
      <c r="J71" s="7" t="s">
        <v>23</v>
      </c>
    </row>
    <row r="72" spans="1:10" ht="41.4" x14ac:dyDescent="0.3">
      <c r="A72" s="7" t="s">
        <v>24</v>
      </c>
      <c r="B72" s="7" t="s">
        <v>150</v>
      </c>
      <c r="C72" s="8" t="s">
        <v>209</v>
      </c>
      <c r="D72" s="8" t="s">
        <v>210</v>
      </c>
      <c r="E72" s="12"/>
      <c r="F72" s="7" t="s">
        <v>49</v>
      </c>
      <c r="G72" s="7" t="s">
        <v>203</v>
      </c>
      <c r="H72" s="7"/>
      <c r="I72" s="7" t="s">
        <v>204</v>
      </c>
      <c r="J72" s="7" t="s">
        <v>27</v>
      </c>
    </row>
  </sheetData>
  <autoFilter ref="A1:J72" xr:uid="{00000000-0001-0000-0000-000000000000}"/>
  <mergeCells count="15">
    <mergeCell ref="E61:E64"/>
    <mergeCell ref="E65:E68"/>
    <mergeCell ref="E69:E72"/>
    <mergeCell ref="E33:E36"/>
    <mergeCell ref="E37:E41"/>
    <mergeCell ref="E42:E46"/>
    <mergeCell ref="E47:E50"/>
    <mergeCell ref="E52:E56"/>
    <mergeCell ref="E57:E60"/>
    <mergeCell ref="E28:E31"/>
    <mergeCell ref="E3:E6"/>
    <mergeCell ref="E11:E18"/>
    <mergeCell ref="E19:E22"/>
    <mergeCell ref="E23:E27"/>
    <mergeCell ref="E7:E10"/>
  </mergeCells>
  <phoneticPr fontId="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934F3E-16C0-4645-BE3C-6ADB1C95FC15}">
  <dimension ref="A1:I19"/>
  <sheetViews>
    <sheetView workbookViewId="0"/>
  </sheetViews>
  <sheetFormatPr baseColWidth="10" defaultColWidth="8.88671875" defaultRowHeight="14.4" x14ac:dyDescent="0.3"/>
  <cols>
    <col min="9" max="9" width="22.6640625" customWidth="1"/>
  </cols>
  <sheetData>
    <row r="1" spans="1:9" x14ac:dyDescent="0.3">
      <c r="A1" t="s">
        <v>0</v>
      </c>
      <c r="B1" t="s">
        <v>1</v>
      </c>
      <c r="C1" t="s">
        <v>2</v>
      </c>
      <c r="D1" t="s">
        <v>3</v>
      </c>
      <c r="E1" t="s">
        <v>5</v>
      </c>
      <c r="F1" t="s">
        <v>6</v>
      </c>
      <c r="G1" t="s">
        <v>7</v>
      </c>
      <c r="H1" t="s">
        <v>8</v>
      </c>
      <c r="I1" t="s">
        <v>211</v>
      </c>
    </row>
    <row r="3" spans="1:9" x14ac:dyDescent="0.3">
      <c r="A3" t="s">
        <v>17</v>
      </c>
      <c r="B3" t="s">
        <v>11</v>
      </c>
      <c r="C3" t="s">
        <v>18</v>
      </c>
      <c r="D3" t="s">
        <v>19</v>
      </c>
      <c r="E3" t="s">
        <v>15</v>
      </c>
      <c r="F3" t="s">
        <v>21</v>
      </c>
      <c r="G3">
        <v>5</v>
      </c>
      <c r="H3" t="s">
        <v>16</v>
      </c>
      <c r="I3" t="s">
        <v>212</v>
      </c>
    </row>
    <row r="4" spans="1:9" x14ac:dyDescent="0.3">
      <c r="A4" t="s">
        <v>17</v>
      </c>
      <c r="B4" t="s">
        <v>11</v>
      </c>
      <c r="C4" t="s">
        <v>34</v>
      </c>
      <c r="D4" t="s">
        <v>35</v>
      </c>
      <c r="E4" t="s">
        <v>15</v>
      </c>
      <c r="F4" t="s">
        <v>21</v>
      </c>
      <c r="G4">
        <v>5</v>
      </c>
      <c r="H4" t="s">
        <v>16</v>
      </c>
      <c r="I4" t="s">
        <v>213</v>
      </c>
    </row>
    <row r="5" spans="1:9" x14ac:dyDescent="0.3">
      <c r="A5" t="s">
        <v>17</v>
      </c>
      <c r="B5" t="s">
        <v>11</v>
      </c>
      <c r="C5" t="s">
        <v>46</v>
      </c>
      <c r="D5" t="s">
        <v>47</v>
      </c>
      <c r="E5" t="s">
        <v>49</v>
      </c>
      <c r="F5" t="s">
        <v>50</v>
      </c>
      <c r="G5">
        <v>3</v>
      </c>
      <c r="H5" t="s">
        <v>16</v>
      </c>
      <c r="I5" t="s">
        <v>214</v>
      </c>
    </row>
    <row r="6" spans="1:9" x14ac:dyDescent="0.3">
      <c r="A6" t="s">
        <v>17</v>
      </c>
      <c r="B6" t="s">
        <v>11</v>
      </c>
      <c r="C6" t="s">
        <v>63</v>
      </c>
      <c r="D6" t="s">
        <v>64</v>
      </c>
      <c r="E6" t="s">
        <v>15</v>
      </c>
      <c r="F6" t="s">
        <v>66</v>
      </c>
      <c r="G6">
        <v>8</v>
      </c>
      <c r="H6" t="s">
        <v>16</v>
      </c>
      <c r="I6" t="s">
        <v>215</v>
      </c>
    </row>
    <row r="7" spans="1:9" x14ac:dyDescent="0.3">
      <c r="A7" t="s">
        <v>17</v>
      </c>
      <c r="B7" t="s">
        <v>11</v>
      </c>
      <c r="C7" t="s">
        <v>74</v>
      </c>
      <c r="D7" t="s">
        <v>75</v>
      </c>
      <c r="E7" t="s">
        <v>15</v>
      </c>
      <c r="F7" t="s">
        <v>77</v>
      </c>
      <c r="G7">
        <v>8</v>
      </c>
      <c r="H7" t="s">
        <v>16</v>
      </c>
      <c r="I7" t="s">
        <v>212</v>
      </c>
    </row>
    <row r="8" spans="1:9" x14ac:dyDescent="0.3">
      <c r="A8" t="s">
        <v>17</v>
      </c>
      <c r="B8" t="s">
        <v>11</v>
      </c>
      <c r="C8" t="s">
        <v>87</v>
      </c>
      <c r="D8" t="s">
        <v>88</v>
      </c>
      <c r="E8" t="s">
        <v>15</v>
      </c>
      <c r="F8" t="s">
        <v>90</v>
      </c>
      <c r="G8">
        <v>13</v>
      </c>
      <c r="H8" t="s">
        <v>16</v>
      </c>
      <c r="I8" t="s">
        <v>216</v>
      </c>
    </row>
    <row r="10" spans="1:9" x14ac:dyDescent="0.3">
      <c r="A10" t="s">
        <v>17</v>
      </c>
      <c r="B10" t="s">
        <v>98</v>
      </c>
      <c r="C10" t="s">
        <v>102</v>
      </c>
      <c r="D10" t="s">
        <v>103</v>
      </c>
      <c r="E10" t="s">
        <v>15</v>
      </c>
      <c r="F10" t="s">
        <v>105</v>
      </c>
      <c r="G10">
        <v>5</v>
      </c>
      <c r="H10" t="s">
        <v>101</v>
      </c>
      <c r="I10" t="s">
        <v>213</v>
      </c>
    </row>
    <row r="11" spans="1:9" x14ac:dyDescent="0.3">
      <c r="A11" t="s">
        <v>17</v>
      </c>
      <c r="B11" t="s">
        <v>98</v>
      </c>
      <c r="C11" t="s">
        <v>113</v>
      </c>
      <c r="D11" t="s">
        <v>114</v>
      </c>
      <c r="E11" t="s">
        <v>15</v>
      </c>
      <c r="F11" t="s">
        <v>116</v>
      </c>
      <c r="G11">
        <v>8</v>
      </c>
      <c r="H11" t="s">
        <v>101</v>
      </c>
      <c r="I11" t="s">
        <v>214</v>
      </c>
    </row>
    <row r="12" spans="1:9" x14ac:dyDescent="0.3">
      <c r="A12" t="s">
        <v>17</v>
      </c>
      <c r="B12" t="s">
        <v>98</v>
      </c>
      <c r="C12" t="s">
        <v>126</v>
      </c>
      <c r="D12" t="s">
        <v>127</v>
      </c>
      <c r="E12" t="s">
        <v>15</v>
      </c>
      <c r="F12" t="s">
        <v>129</v>
      </c>
      <c r="G12">
        <v>8</v>
      </c>
      <c r="H12" t="s">
        <v>101</v>
      </c>
      <c r="I12" t="s">
        <v>217</v>
      </c>
    </row>
    <row r="13" spans="1:9" x14ac:dyDescent="0.3">
      <c r="A13" t="s">
        <v>17</v>
      </c>
      <c r="B13" t="s">
        <v>98</v>
      </c>
      <c r="C13" t="s">
        <v>139</v>
      </c>
      <c r="D13" t="s">
        <v>140</v>
      </c>
      <c r="E13" t="s">
        <v>15</v>
      </c>
      <c r="F13" t="s">
        <v>142</v>
      </c>
      <c r="G13">
        <v>5</v>
      </c>
      <c r="H13" t="s">
        <v>101</v>
      </c>
      <c r="I13" t="s">
        <v>215</v>
      </c>
    </row>
    <row r="15" spans="1:9" x14ac:dyDescent="0.3">
      <c r="A15" t="s">
        <v>17</v>
      </c>
      <c r="B15" t="s">
        <v>150</v>
      </c>
      <c r="C15" t="s">
        <v>154</v>
      </c>
      <c r="D15" t="s">
        <v>155</v>
      </c>
      <c r="E15" t="s">
        <v>49</v>
      </c>
      <c r="F15" t="s">
        <v>157</v>
      </c>
      <c r="G15">
        <v>5</v>
      </c>
      <c r="H15" t="s">
        <v>153</v>
      </c>
      <c r="I15" t="s">
        <v>216</v>
      </c>
    </row>
    <row r="16" spans="1:9" x14ac:dyDescent="0.3">
      <c r="A16" t="s">
        <v>17</v>
      </c>
      <c r="B16" t="s">
        <v>150</v>
      </c>
      <c r="C16" t="s">
        <v>167</v>
      </c>
      <c r="D16" t="s">
        <v>168</v>
      </c>
      <c r="E16" t="s">
        <v>49</v>
      </c>
      <c r="F16" t="s">
        <v>170</v>
      </c>
      <c r="G16">
        <v>5</v>
      </c>
      <c r="H16" t="s">
        <v>153</v>
      </c>
      <c r="I16" t="s">
        <v>213</v>
      </c>
    </row>
    <row r="17" spans="1:9" x14ac:dyDescent="0.3">
      <c r="A17" t="s">
        <v>17</v>
      </c>
      <c r="B17" t="s">
        <v>150</v>
      </c>
      <c r="C17" t="s">
        <v>178</v>
      </c>
      <c r="D17" t="s">
        <v>179</v>
      </c>
      <c r="E17" t="s">
        <v>49</v>
      </c>
      <c r="F17" t="s">
        <v>181</v>
      </c>
      <c r="G17">
        <v>5</v>
      </c>
      <c r="H17" t="s">
        <v>153</v>
      </c>
      <c r="I17" t="s">
        <v>214</v>
      </c>
    </row>
    <row r="18" spans="1:9" x14ac:dyDescent="0.3">
      <c r="A18" t="s">
        <v>17</v>
      </c>
      <c r="B18" t="s">
        <v>150</v>
      </c>
      <c r="C18" t="s">
        <v>189</v>
      </c>
      <c r="D18" t="s">
        <v>190</v>
      </c>
      <c r="E18" t="s">
        <v>49</v>
      </c>
      <c r="F18" t="s">
        <v>192</v>
      </c>
      <c r="G18">
        <v>5</v>
      </c>
      <c r="H18" t="s">
        <v>153</v>
      </c>
      <c r="I18" t="s">
        <v>212</v>
      </c>
    </row>
    <row r="19" spans="1:9" x14ac:dyDescent="0.3">
      <c r="A19" t="s">
        <v>17</v>
      </c>
      <c r="B19" t="s">
        <v>150</v>
      </c>
      <c r="C19" t="s">
        <v>200</v>
      </c>
      <c r="D19" t="s">
        <v>201</v>
      </c>
      <c r="E19" t="s">
        <v>49</v>
      </c>
      <c r="F19" t="s">
        <v>203</v>
      </c>
      <c r="G19">
        <v>8</v>
      </c>
      <c r="H19" t="s">
        <v>153</v>
      </c>
      <c r="I19" t="s">
        <v>213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A90B75-EDC6-49BD-AD06-F5A9D549B8D5}">
  <dimension ref="A1:I52"/>
  <sheetViews>
    <sheetView workbookViewId="0"/>
  </sheetViews>
  <sheetFormatPr baseColWidth="10" defaultColWidth="8.88671875" defaultRowHeight="14.4" x14ac:dyDescent="0.3"/>
  <cols>
    <col min="1" max="1" width="10.33203125" bestFit="1" customWidth="1"/>
    <col min="2" max="2" width="40.5546875" bestFit="1" customWidth="1"/>
    <col min="3" max="3" width="60.44140625" bestFit="1" customWidth="1"/>
    <col min="4" max="4" width="45.88671875" customWidth="1"/>
    <col min="5" max="5" width="8.44140625" bestFit="1" customWidth="1"/>
    <col min="6" max="6" width="9" bestFit="1" customWidth="1"/>
    <col min="7" max="7" width="11.5546875" bestFit="1" customWidth="1"/>
    <col min="8" max="8" width="9.5546875" bestFit="1" customWidth="1"/>
    <col min="9" max="9" width="28" customWidth="1"/>
    <col min="12" max="12" width="23.109375" bestFit="1" customWidth="1"/>
  </cols>
  <sheetData>
    <row r="1" spans="1:9" x14ac:dyDescent="0.3">
      <c r="A1" t="s">
        <v>0</v>
      </c>
      <c r="B1" t="s">
        <v>1</v>
      </c>
      <c r="C1" t="s">
        <v>2</v>
      </c>
      <c r="D1" t="s">
        <v>3</v>
      </c>
      <c r="E1" t="s">
        <v>5</v>
      </c>
      <c r="F1" t="s">
        <v>6</v>
      </c>
      <c r="G1" t="s">
        <v>7</v>
      </c>
      <c r="H1" t="s">
        <v>8</v>
      </c>
      <c r="I1" t="s">
        <v>211</v>
      </c>
    </row>
    <row r="2" spans="1:9" x14ac:dyDescent="0.3">
      <c r="A2" t="s">
        <v>24</v>
      </c>
      <c r="B2" t="s">
        <v>11</v>
      </c>
      <c r="C2" t="s">
        <v>25</v>
      </c>
      <c r="D2" t="s">
        <v>26</v>
      </c>
      <c r="E2" t="s">
        <v>15</v>
      </c>
      <c r="F2" t="s">
        <v>21</v>
      </c>
      <c r="H2" t="s">
        <v>22</v>
      </c>
      <c r="I2" t="s">
        <v>217</v>
      </c>
    </row>
    <row r="3" spans="1:9" x14ac:dyDescent="0.3">
      <c r="A3" t="s">
        <v>24</v>
      </c>
      <c r="B3" t="s">
        <v>11</v>
      </c>
      <c r="C3" t="s">
        <v>28</v>
      </c>
      <c r="D3" t="s">
        <v>29</v>
      </c>
      <c r="E3" t="s">
        <v>15</v>
      </c>
      <c r="F3" t="s">
        <v>21</v>
      </c>
      <c r="H3" t="s">
        <v>22</v>
      </c>
      <c r="I3" t="s">
        <v>214</v>
      </c>
    </row>
    <row r="4" spans="1:9" x14ac:dyDescent="0.3">
      <c r="A4" t="s">
        <v>24</v>
      </c>
      <c r="B4" t="s">
        <v>11</v>
      </c>
      <c r="C4" t="s">
        <v>31</v>
      </c>
      <c r="D4" t="s">
        <v>32</v>
      </c>
      <c r="E4" t="s">
        <v>15</v>
      </c>
      <c r="F4" t="s">
        <v>21</v>
      </c>
      <c r="H4" t="s">
        <v>22</v>
      </c>
      <c r="I4" t="s">
        <v>215</v>
      </c>
    </row>
    <row r="5" spans="1:9" x14ac:dyDescent="0.3">
      <c r="A5" t="s">
        <v>24</v>
      </c>
      <c r="B5" t="s">
        <v>11</v>
      </c>
      <c r="C5" t="s">
        <v>39</v>
      </c>
      <c r="D5" t="s">
        <v>40</v>
      </c>
      <c r="E5" t="s">
        <v>15</v>
      </c>
      <c r="F5" t="s">
        <v>21</v>
      </c>
      <c r="H5" t="s">
        <v>37</v>
      </c>
      <c r="I5" t="s">
        <v>216</v>
      </c>
    </row>
    <row r="6" spans="1:9" x14ac:dyDescent="0.3">
      <c r="A6" t="s">
        <v>24</v>
      </c>
      <c r="B6" t="s">
        <v>11</v>
      </c>
      <c r="C6" t="s">
        <v>42</v>
      </c>
      <c r="D6" t="s">
        <v>43</v>
      </c>
      <c r="E6" t="s">
        <v>15</v>
      </c>
      <c r="F6" t="s">
        <v>21</v>
      </c>
      <c r="H6" t="s">
        <v>37</v>
      </c>
      <c r="I6" t="s">
        <v>212</v>
      </c>
    </row>
    <row r="7" spans="1:9" x14ac:dyDescent="0.3">
      <c r="A7" t="s">
        <v>24</v>
      </c>
      <c r="B7" t="s">
        <v>11</v>
      </c>
      <c r="C7" t="s">
        <v>44</v>
      </c>
      <c r="D7" t="s">
        <v>45</v>
      </c>
      <c r="E7" t="s">
        <v>15</v>
      </c>
      <c r="F7" t="s">
        <v>21</v>
      </c>
      <c r="H7" t="s">
        <v>37</v>
      </c>
      <c r="I7" t="s">
        <v>217</v>
      </c>
    </row>
    <row r="8" spans="1:9" x14ac:dyDescent="0.3">
      <c r="A8" t="s">
        <v>24</v>
      </c>
      <c r="B8" t="s">
        <v>11</v>
      </c>
      <c r="C8" t="s">
        <v>52</v>
      </c>
      <c r="D8" t="s">
        <v>53</v>
      </c>
      <c r="E8" t="s">
        <v>54</v>
      </c>
      <c r="F8" t="s">
        <v>50</v>
      </c>
      <c r="H8" t="s">
        <v>51</v>
      </c>
      <c r="I8" t="s">
        <v>215</v>
      </c>
    </row>
    <row r="9" spans="1:9" x14ac:dyDescent="0.3">
      <c r="A9" t="s">
        <v>24</v>
      </c>
      <c r="B9" t="s">
        <v>11</v>
      </c>
      <c r="C9" t="s">
        <v>55</v>
      </c>
      <c r="D9" t="s">
        <v>56</v>
      </c>
      <c r="E9" t="s">
        <v>54</v>
      </c>
      <c r="F9" t="s">
        <v>50</v>
      </c>
      <c r="H9" t="s">
        <v>51</v>
      </c>
      <c r="I9" t="s">
        <v>213</v>
      </c>
    </row>
    <row r="10" spans="1:9" x14ac:dyDescent="0.3">
      <c r="A10" t="s">
        <v>24</v>
      </c>
      <c r="B10" t="s">
        <v>11</v>
      </c>
      <c r="C10" t="s">
        <v>57</v>
      </c>
      <c r="D10" t="s">
        <v>58</v>
      </c>
      <c r="E10" t="s">
        <v>54</v>
      </c>
      <c r="F10" t="s">
        <v>50</v>
      </c>
      <c r="H10" t="s">
        <v>51</v>
      </c>
      <c r="I10" t="s">
        <v>216</v>
      </c>
    </row>
    <row r="11" spans="1:9" x14ac:dyDescent="0.3">
      <c r="A11" t="s">
        <v>24</v>
      </c>
      <c r="B11" t="s">
        <v>11</v>
      </c>
      <c r="C11" t="s">
        <v>59</v>
      </c>
      <c r="D11" t="s">
        <v>60</v>
      </c>
      <c r="E11" t="s">
        <v>49</v>
      </c>
      <c r="F11" t="s">
        <v>50</v>
      </c>
      <c r="H11" t="s">
        <v>51</v>
      </c>
      <c r="I11" t="s">
        <v>212</v>
      </c>
    </row>
    <row r="12" spans="1:9" x14ac:dyDescent="0.3">
      <c r="A12" t="s">
        <v>24</v>
      </c>
      <c r="B12" t="s">
        <v>11</v>
      </c>
      <c r="C12" t="s">
        <v>61</v>
      </c>
      <c r="D12" t="s">
        <v>62</v>
      </c>
      <c r="E12" t="s">
        <v>49</v>
      </c>
      <c r="F12" t="s">
        <v>50</v>
      </c>
      <c r="H12" t="s">
        <v>51</v>
      </c>
      <c r="I12" t="s">
        <v>217</v>
      </c>
    </row>
    <row r="13" spans="1:9" x14ac:dyDescent="0.3">
      <c r="A13" t="s">
        <v>24</v>
      </c>
      <c r="B13" t="s">
        <v>11</v>
      </c>
      <c r="C13" t="s">
        <v>68</v>
      </c>
      <c r="D13" t="s">
        <v>69</v>
      </c>
      <c r="E13" t="s">
        <v>15</v>
      </c>
      <c r="F13" t="s">
        <v>66</v>
      </c>
      <c r="H13" t="s">
        <v>67</v>
      </c>
      <c r="I13" t="s">
        <v>215</v>
      </c>
    </row>
    <row r="14" spans="1:9" x14ac:dyDescent="0.3">
      <c r="A14" t="s">
        <v>24</v>
      </c>
      <c r="B14" t="s">
        <v>11</v>
      </c>
      <c r="C14" t="s">
        <v>70</v>
      </c>
      <c r="D14" t="s">
        <v>71</v>
      </c>
      <c r="E14" t="s">
        <v>15</v>
      </c>
      <c r="F14" t="s">
        <v>66</v>
      </c>
      <c r="H14" t="s">
        <v>67</v>
      </c>
      <c r="I14" t="s">
        <v>213</v>
      </c>
    </row>
    <row r="15" spans="1:9" x14ac:dyDescent="0.3">
      <c r="A15" t="s">
        <v>24</v>
      </c>
      <c r="B15" t="s">
        <v>11</v>
      </c>
      <c r="C15" t="s">
        <v>72</v>
      </c>
      <c r="D15" t="s">
        <v>73</v>
      </c>
      <c r="E15" t="s">
        <v>15</v>
      </c>
      <c r="F15" t="s">
        <v>66</v>
      </c>
      <c r="H15" t="s">
        <v>67</v>
      </c>
      <c r="I15" t="s">
        <v>216</v>
      </c>
    </row>
    <row r="16" spans="1:9" x14ac:dyDescent="0.3">
      <c r="A16" t="s">
        <v>24</v>
      </c>
      <c r="B16" t="s">
        <v>11</v>
      </c>
      <c r="C16" t="s">
        <v>79</v>
      </c>
      <c r="D16" t="s">
        <v>80</v>
      </c>
      <c r="E16" t="s">
        <v>15</v>
      </c>
      <c r="F16" t="s">
        <v>77</v>
      </c>
      <c r="H16" t="s">
        <v>78</v>
      </c>
      <c r="I16" t="s">
        <v>217</v>
      </c>
    </row>
    <row r="17" spans="1:9" x14ac:dyDescent="0.3">
      <c r="A17" t="s">
        <v>24</v>
      </c>
      <c r="B17" t="s">
        <v>11</v>
      </c>
      <c r="C17" t="s">
        <v>81</v>
      </c>
      <c r="D17" t="s">
        <v>82</v>
      </c>
      <c r="E17" t="s">
        <v>15</v>
      </c>
      <c r="F17" t="s">
        <v>77</v>
      </c>
      <c r="H17" t="s">
        <v>78</v>
      </c>
      <c r="I17" t="s">
        <v>214</v>
      </c>
    </row>
    <row r="18" spans="1:9" x14ac:dyDescent="0.3">
      <c r="A18" t="s">
        <v>24</v>
      </c>
      <c r="B18" t="s">
        <v>11</v>
      </c>
      <c r="C18" t="s">
        <v>83</v>
      </c>
      <c r="D18" t="s">
        <v>84</v>
      </c>
      <c r="E18" t="s">
        <v>15</v>
      </c>
      <c r="F18" t="s">
        <v>77</v>
      </c>
      <c r="H18" t="s">
        <v>78</v>
      </c>
      <c r="I18" t="s">
        <v>215</v>
      </c>
    </row>
    <row r="19" spans="1:9" x14ac:dyDescent="0.3">
      <c r="A19" t="s">
        <v>24</v>
      </c>
      <c r="B19" t="s">
        <v>11</v>
      </c>
      <c r="C19" t="s">
        <v>85</v>
      </c>
      <c r="D19" t="s">
        <v>86</v>
      </c>
      <c r="E19" t="s">
        <v>15</v>
      </c>
      <c r="F19" t="s">
        <v>77</v>
      </c>
      <c r="H19" t="s">
        <v>78</v>
      </c>
      <c r="I19" t="s">
        <v>213</v>
      </c>
    </row>
    <row r="20" spans="1:9" x14ac:dyDescent="0.3">
      <c r="A20" t="s">
        <v>24</v>
      </c>
      <c r="B20" t="s">
        <v>11</v>
      </c>
      <c r="C20" t="s">
        <v>92</v>
      </c>
      <c r="D20" t="s">
        <v>93</v>
      </c>
      <c r="E20" t="s">
        <v>15</v>
      </c>
      <c r="F20" t="s">
        <v>90</v>
      </c>
      <c r="H20" t="s">
        <v>91</v>
      </c>
      <c r="I20" t="s">
        <v>212</v>
      </c>
    </row>
    <row r="21" spans="1:9" x14ac:dyDescent="0.3">
      <c r="A21" t="s">
        <v>24</v>
      </c>
      <c r="B21" t="s">
        <v>11</v>
      </c>
      <c r="C21" t="s">
        <v>94</v>
      </c>
      <c r="D21" t="s">
        <v>95</v>
      </c>
      <c r="E21" t="s">
        <v>15</v>
      </c>
      <c r="F21" t="s">
        <v>90</v>
      </c>
      <c r="H21" t="s">
        <v>91</v>
      </c>
      <c r="I21" t="s">
        <v>217</v>
      </c>
    </row>
    <row r="22" spans="1:9" x14ac:dyDescent="0.3">
      <c r="A22" t="s">
        <v>24</v>
      </c>
      <c r="B22" t="s">
        <v>11</v>
      </c>
      <c r="C22" t="s">
        <v>96</v>
      </c>
      <c r="D22" t="s">
        <v>97</v>
      </c>
      <c r="E22" t="s">
        <v>15</v>
      </c>
      <c r="F22" t="s">
        <v>90</v>
      </c>
      <c r="H22" t="s">
        <v>91</v>
      </c>
      <c r="I22" t="s">
        <v>214</v>
      </c>
    </row>
    <row r="23" spans="1:9" x14ac:dyDescent="0.3">
      <c r="A23" t="s">
        <v>24</v>
      </c>
      <c r="B23" t="s">
        <v>98</v>
      </c>
      <c r="C23" t="s">
        <v>107</v>
      </c>
      <c r="D23" t="s">
        <v>108</v>
      </c>
      <c r="E23" t="s">
        <v>15</v>
      </c>
      <c r="F23" t="s">
        <v>105</v>
      </c>
      <c r="H23" t="s">
        <v>106</v>
      </c>
      <c r="I23" t="s">
        <v>216</v>
      </c>
    </row>
    <row r="24" spans="1:9" x14ac:dyDescent="0.3">
      <c r="A24" t="s">
        <v>24</v>
      </c>
      <c r="B24" t="s">
        <v>98</v>
      </c>
      <c r="C24" t="s">
        <v>109</v>
      </c>
      <c r="D24" t="s">
        <v>110</v>
      </c>
      <c r="E24" t="s">
        <v>15</v>
      </c>
      <c r="F24" t="s">
        <v>105</v>
      </c>
      <c r="H24" t="s">
        <v>106</v>
      </c>
      <c r="I24" t="s">
        <v>212</v>
      </c>
    </row>
    <row r="25" spans="1:9" x14ac:dyDescent="0.3">
      <c r="A25" t="s">
        <v>24</v>
      </c>
      <c r="B25" t="s">
        <v>98</v>
      </c>
      <c r="C25" t="s">
        <v>111</v>
      </c>
      <c r="D25" t="s">
        <v>112</v>
      </c>
      <c r="E25" t="s">
        <v>15</v>
      </c>
      <c r="F25" t="s">
        <v>105</v>
      </c>
      <c r="H25" t="s">
        <v>106</v>
      </c>
      <c r="I25" t="s">
        <v>217</v>
      </c>
    </row>
    <row r="26" spans="1:9" x14ac:dyDescent="0.3">
      <c r="A26" t="s">
        <v>24</v>
      </c>
      <c r="B26" t="s">
        <v>98</v>
      </c>
      <c r="C26" t="s">
        <v>118</v>
      </c>
      <c r="D26" t="s">
        <v>119</v>
      </c>
      <c r="E26" t="s">
        <v>15</v>
      </c>
      <c r="F26" t="s">
        <v>116</v>
      </c>
      <c r="H26" t="s">
        <v>117</v>
      </c>
      <c r="I26" t="s">
        <v>215</v>
      </c>
    </row>
    <row r="27" spans="1:9" x14ac:dyDescent="0.3">
      <c r="A27" t="s">
        <v>24</v>
      </c>
      <c r="B27" t="s">
        <v>98</v>
      </c>
      <c r="C27" t="s">
        <v>120</v>
      </c>
      <c r="D27" t="s">
        <v>121</v>
      </c>
      <c r="E27" t="s">
        <v>15</v>
      </c>
      <c r="F27" t="s">
        <v>116</v>
      </c>
      <c r="H27" t="s">
        <v>117</v>
      </c>
      <c r="I27" t="s">
        <v>213</v>
      </c>
    </row>
    <row r="28" spans="1:9" x14ac:dyDescent="0.3">
      <c r="A28" t="s">
        <v>24</v>
      </c>
      <c r="B28" t="s">
        <v>98</v>
      </c>
      <c r="C28" t="s">
        <v>122</v>
      </c>
      <c r="D28" t="s">
        <v>123</v>
      </c>
      <c r="E28" t="s">
        <v>15</v>
      </c>
      <c r="F28" t="s">
        <v>116</v>
      </c>
      <c r="H28" t="s">
        <v>117</v>
      </c>
      <c r="I28" t="s">
        <v>216</v>
      </c>
    </row>
    <row r="29" spans="1:9" x14ac:dyDescent="0.3">
      <c r="A29" t="s">
        <v>24</v>
      </c>
      <c r="B29" t="s">
        <v>98</v>
      </c>
      <c r="C29" t="s">
        <v>124</v>
      </c>
      <c r="D29" t="s">
        <v>125</v>
      </c>
      <c r="E29" t="s">
        <v>15</v>
      </c>
      <c r="F29" t="s">
        <v>116</v>
      </c>
      <c r="H29" t="s">
        <v>117</v>
      </c>
      <c r="I29" t="s">
        <v>212</v>
      </c>
    </row>
    <row r="30" spans="1:9" x14ac:dyDescent="0.3">
      <c r="A30" t="s">
        <v>24</v>
      </c>
      <c r="B30" t="s">
        <v>98</v>
      </c>
      <c r="C30" t="s">
        <v>131</v>
      </c>
      <c r="D30" t="s">
        <v>132</v>
      </c>
      <c r="E30" t="s">
        <v>15</v>
      </c>
      <c r="F30" t="s">
        <v>129</v>
      </c>
      <c r="H30" t="s">
        <v>130</v>
      </c>
      <c r="I30" t="s">
        <v>214</v>
      </c>
    </row>
    <row r="31" spans="1:9" x14ac:dyDescent="0.3">
      <c r="A31" t="s">
        <v>24</v>
      </c>
      <c r="B31" t="s">
        <v>98</v>
      </c>
      <c r="C31" t="s">
        <v>133</v>
      </c>
      <c r="D31" t="s">
        <v>134</v>
      </c>
      <c r="E31" t="s">
        <v>15</v>
      </c>
      <c r="F31" t="s">
        <v>129</v>
      </c>
      <c r="H31" t="s">
        <v>130</v>
      </c>
      <c r="I31" t="s">
        <v>215</v>
      </c>
    </row>
    <row r="32" spans="1:9" x14ac:dyDescent="0.3">
      <c r="A32" t="s">
        <v>24</v>
      </c>
      <c r="B32" t="s">
        <v>98</v>
      </c>
      <c r="C32" t="s">
        <v>135</v>
      </c>
      <c r="D32" t="s">
        <v>136</v>
      </c>
      <c r="E32" t="s">
        <v>15</v>
      </c>
      <c r="F32" t="s">
        <v>129</v>
      </c>
      <c r="H32" t="s">
        <v>130</v>
      </c>
      <c r="I32" t="s">
        <v>213</v>
      </c>
    </row>
    <row r="33" spans="1:9" x14ac:dyDescent="0.3">
      <c r="A33" t="s">
        <v>24</v>
      </c>
      <c r="B33" t="s">
        <v>98</v>
      </c>
      <c r="C33" t="s">
        <v>137</v>
      </c>
      <c r="D33" t="s">
        <v>138</v>
      </c>
      <c r="E33" t="s">
        <v>15</v>
      </c>
      <c r="F33" t="s">
        <v>129</v>
      </c>
      <c r="H33" t="s">
        <v>130</v>
      </c>
      <c r="I33" t="s">
        <v>216</v>
      </c>
    </row>
    <row r="34" spans="1:9" x14ac:dyDescent="0.3">
      <c r="A34" t="s">
        <v>24</v>
      </c>
      <c r="B34" t="s">
        <v>98</v>
      </c>
      <c r="C34" t="s">
        <v>144</v>
      </c>
      <c r="D34" t="s">
        <v>145</v>
      </c>
      <c r="E34" t="s">
        <v>15</v>
      </c>
      <c r="F34" t="s">
        <v>142</v>
      </c>
      <c r="H34" t="s">
        <v>143</v>
      </c>
      <c r="I34" t="s">
        <v>217</v>
      </c>
    </row>
    <row r="35" spans="1:9" x14ac:dyDescent="0.3">
      <c r="A35" t="s">
        <v>24</v>
      </c>
      <c r="B35" t="s">
        <v>98</v>
      </c>
      <c r="C35" t="s">
        <v>146</v>
      </c>
      <c r="D35" t="s">
        <v>147</v>
      </c>
      <c r="E35" t="s">
        <v>15</v>
      </c>
      <c r="F35" t="s">
        <v>142</v>
      </c>
      <c r="H35" t="s">
        <v>143</v>
      </c>
      <c r="I35" t="s">
        <v>214</v>
      </c>
    </row>
    <row r="36" spans="1:9" x14ac:dyDescent="0.3">
      <c r="A36" t="s">
        <v>24</v>
      </c>
      <c r="B36" t="s">
        <v>98</v>
      </c>
      <c r="C36" t="s">
        <v>148</v>
      </c>
      <c r="D36" t="s">
        <v>149</v>
      </c>
      <c r="E36" t="s">
        <v>15</v>
      </c>
      <c r="F36" t="s">
        <v>142</v>
      </c>
      <c r="H36" t="s">
        <v>143</v>
      </c>
      <c r="I36" t="s">
        <v>215</v>
      </c>
    </row>
    <row r="37" spans="1:9" x14ac:dyDescent="0.3">
      <c r="A37" t="s">
        <v>24</v>
      </c>
      <c r="B37" t="s">
        <v>150</v>
      </c>
      <c r="C37" t="s">
        <v>159</v>
      </c>
      <c r="D37" t="s">
        <v>160</v>
      </c>
      <c r="E37" t="s">
        <v>49</v>
      </c>
      <c r="F37" t="s">
        <v>157</v>
      </c>
      <c r="H37" t="s">
        <v>158</v>
      </c>
      <c r="I37" t="s">
        <v>212</v>
      </c>
    </row>
    <row r="38" spans="1:9" x14ac:dyDescent="0.3">
      <c r="A38" t="s">
        <v>24</v>
      </c>
      <c r="B38" t="s">
        <v>150</v>
      </c>
      <c r="C38" t="s">
        <v>161</v>
      </c>
      <c r="D38" t="s">
        <v>162</v>
      </c>
      <c r="E38" t="s">
        <v>49</v>
      </c>
      <c r="F38" t="s">
        <v>157</v>
      </c>
      <c r="H38" t="s">
        <v>158</v>
      </c>
      <c r="I38" t="s">
        <v>217</v>
      </c>
    </row>
    <row r="39" spans="1:9" x14ac:dyDescent="0.3">
      <c r="A39" t="s">
        <v>24</v>
      </c>
      <c r="B39" t="s">
        <v>150</v>
      </c>
      <c r="C39" t="s">
        <v>163</v>
      </c>
      <c r="D39" t="s">
        <v>164</v>
      </c>
      <c r="E39" t="s">
        <v>49</v>
      </c>
      <c r="F39" t="s">
        <v>157</v>
      </c>
      <c r="H39" t="s">
        <v>158</v>
      </c>
      <c r="I39" t="s">
        <v>214</v>
      </c>
    </row>
    <row r="40" spans="1:9" x14ac:dyDescent="0.3">
      <c r="A40" t="s">
        <v>24</v>
      </c>
      <c r="B40" t="s">
        <v>150</v>
      </c>
      <c r="C40" t="s">
        <v>165</v>
      </c>
      <c r="D40" t="s">
        <v>166</v>
      </c>
      <c r="E40" t="s">
        <v>49</v>
      </c>
      <c r="F40" t="s">
        <v>157</v>
      </c>
      <c r="H40" t="s">
        <v>158</v>
      </c>
      <c r="I40" t="s">
        <v>215</v>
      </c>
    </row>
    <row r="41" spans="1:9" x14ac:dyDescent="0.3">
      <c r="A41" t="s">
        <v>24</v>
      </c>
      <c r="B41" t="s">
        <v>150</v>
      </c>
      <c r="C41" t="s">
        <v>172</v>
      </c>
      <c r="D41" t="s">
        <v>173</v>
      </c>
      <c r="E41" t="s">
        <v>49</v>
      </c>
      <c r="F41" t="s">
        <v>170</v>
      </c>
      <c r="H41" t="s">
        <v>171</v>
      </c>
      <c r="I41" t="s">
        <v>216</v>
      </c>
    </row>
    <row r="42" spans="1:9" x14ac:dyDescent="0.3">
      <c r="A42" t="s">
        <v>24</v>
      </c>
      <c r="B42" t="s">
        <v>150</v>
      </c>
      <c r="C42" t="s">
        <v>174</v>
      </c>
      <c r="D42" t="s">
        <v>175</v>
      </c>
      <c r="E42" t="s">
        <v>49</v>
      </c>
      <c r="F42" t="s">
        <v>170</v>
      </c>
      <c r="H42" t="s">
        <v>171</v>
      </c>
      <c r="I42" t="s">
        <v>212</v>
      </c>
    </row>
    <row r="43" spans="1:9" x14ac:dyDescent="0.3">
      <c r="A43" t="s">
        <v>24</v>
      </c>
      <c r="B43" t="s">
        <v>150</v>
      </c>
      <c r="C43" t="s">
        <v>176</v>
      </c>
      <c r="D43" t="s">
        <v>177</v>
      </c>
      <c r="E43" t="s">
        <v>49</v>
      </c>
      <c r="F43" t="s">
        <v>170</v>
      </c>
      <c r="H43" t="s">
        <v>171</v>
      </c>
      <c r="I43" t="s">
        <v>217</v>
      </c>
    </row>
    <row r="44" spans="1:9" x14ac:dyDescent="0.3">
      <c r="A44" t="s">
        <v>24</v>
      </c>
      <c r="B44" t="s">
        <v>150</v>
      </c>
      <c r="C44" t="s">
        <v>183</v>
      </c>
      <c r="D44" t="s">
        <v>184</v>
      </c>
      <c r="E44" t="s">
        <v>49</v>
      </c>
      <c r="F44" t="s">
        <v>181</v>
      </c>
      <c r="H44" t="s">
        <v>182</v>
      </c>
      <c r="I44" t="s">
        <v>215</v>
      </c>
    </row>
    <row r="45" spans="1:9" x14ac:dyDescent="0.3">
      <c r="A45" t="s">
        <v>24</v>
      </c>
      <c r="B45" t="s">
        <v>150</v>
      </c>
      <c r="C45" t="s">
        <v>185</v>
      </c>
      <c r="D45" t="s">
        <v>186</v>
      </c>
      <c r="E45" t="s">
        <v>49</v>
      </c>
      <c r="F45" t="s">
        <v>181</v>
      </c>
      <c r="H45" t="s">
        <v>182</v>
      </c>
      <c r="I45" t="s">
        <v>213</v>
      </c>
    </row>
    <row r="46" spans="1:9" x14ac:dyDescent="0.3">
      <c r="A46" t="s">
        <v>24</v>
      </c>
      <c r="B46" t="s">
        <v>150</v>
      </c>
      <c r="C46" t="s">
        <v>187</v>
      </c>
      <c r="D46" t="s">
        <v>188</v>
      </c>
      <c r="E46" t="s">
        <v>49</v>
      </c>
      <c r="F46" t="s">
        <v>181</v>
      </c>
      <c r="H46" t="s">
        <v>182</v>
      </c>
      <c r="I46" t="s">
        <v>216</v>
      </c>
    </row>
    <row r="47" spans="1:9" x14ac:dyDescent="0.3">
      <c r="A47" t="s">
        <v>24</v>
      </c>
      <c r="B47" t="s">
        <v>150</v>
      </c>
      <c r="C47" t="s">
        <v>194</v>
      </c>
      <c r="D47" t="s">
        <v>195</v>
      </c>
      <c r="E47" t="s">
        <v>49</v>
      </c>
      <c r="F47" t="s">
        <v>192</v>
      </c>
      <c r="H47" t="s">
        <v>193</v>
      </c>
      <c r="I47" t="s">
        <v>217</v>
      </c>
    </row>
    <row r="48" spans="1:9" x14ac:dyDescent="0.3">
      <c r="A48" t="s">
        <v>24</v>
      </c>
      <c r="B48" t="s">
        <v>150</v>
      </c>
      <c r="C48" t="s">
        <v>196</v>
      </c>
      <c r="D48" t="s">
        <v>197</v>
      </c>
      <c r="E48" t="s">
        <v>49</v>
      </c>
      <c r="F48" t="s">
        <v>192</v>
      </c>
      <c r="H48" t="s">
        <v>193</v>
      </c>
      <c r="I48" t="s">
        <v>214</v>
      </c>
    </row>
    <row r="49" spans="1:9" x14ac:dyDescent="0.3">
      <c r="A49" t="s">
        <v>24</v>
      </c>
      <c r="B49" t="s">
        <v>150</v>
      </c>
      <c r="C49" t="s">
        <v>198</v>
      </c>
      <c r="D49" t="s">
        <v>199</v>
      </c>
      <c r="E49" t="s">
        <v>49</v>
      </c>
      <c r="F49" t="s">
        <v>192</v>
      </c>
      <c r="H49" t="s">
        <v>193</v>
      </c>
      <c r="I49" t="s">
        <v>215</v>
      </c>
    </row>
    <row r="50" spans="1:9" x14ac:dyDescent="0.3">
      <c r="A50" t="s">
        <v>24</v>
      </c>
      <c r="B50" t="s">
        <v>150</v>
      </c>
      <c r="C50" t="s">
        <v>205</v>
      </c>
      <c r="D50" t="s">
        <v>206</v>
      </c>
      <c r="E50" t="s">
        <v>49</v>
      </c>
      <c r="F50" t="s">
        <v>203</v>
      </c>
      <c r="H50" t="s">
        <v>204</v>
      </c>
      <c r="I50" t="s">
        <v>216</v>
      </c>
    </row>
    <row r="51" spans="1:9" x14ac:dyDescent="0.3">
      <c r="A51" t="s">
        <v>24</v>
      </c>
      <c r="B51" t="s">
        <v>150</v>
      </c>
      <c r="C51" t="s">
        <v>207</v>
      </c>
      <c r="D51" t="s">
        <v>208</v>
      </c>
      <c r="E51" t="s">
        <v>49</v>
      </c>
      <c r="F51" t="s">
        <v>203</v>
      </c>
      <c r="H51" t="s">
        <v>204</v>
      </c>
      <c r="I51" t="s">
        <v>212</v>
      </c>
    </row>
    <row r="52" spans="1:9" x14ac:dyDescent="0.3">
      <c r="A52" t="s">
        <v>24</v>
      </c>
      <c r="B52" t="s">
        <v>150</v>
      </c>
      <c r="C52" t="s">
        <v>209</v>
      </c>
      <c r="D52" t="s">
        <v>210</v>
      </c>
      <c r="E52" t="s">
        <v>49</v>
      </c>
      <c r="F52" t="s">
        <v>203</v>
      </c>
      <c r="H52" t="s">
        <v>204</v>
      </c>
      <c r="I52" t="s">
        <v>217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C8A502119386F41B57E9937E8A94F81" ma:contentTypeVersion="12" ma:contentTypeDescription="Create a new document." ma:contentTypeScope="" ma:versionID="eec98ac18cd1b8d33bed7ed75920f8c0">
  <xsd:schema xmlns:xsd="http://www.w3.org/2001/XMLSchema" xmlns:xs="http://www.w3.org/2001/XMLSchema" xmlns:p="http://schemas.microsoft.com/office/2006/metadata/properties" xmlns:ns3="ded90d44-5196-4332-8a62-428c18f1f4c2" targetNamespace="http://schemas.microsoft.com/office/2006/metadata/properties" ma:root="true" ma:fieldsID="dbf0b9aa3fc3648cf84cd52f7419738c" ns3:_="">
    <xsd:import namespace="ded90d44-5196-4332-8a62-428c18f1f4c2"/>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ObjectDetectorVersions" minOccurs="0"/>
                <xsd:element ref="ns3:_activity" minOccurs="0"/>
                <xsd:element ref="ns3:MediaServiceSystemTags" minOccurs="0"/>
                <xsd:element ref="ns3:MediaServiceOCR" minOccurs="0"/>
                <xsd:element ref="ns3:MediaServiceGenerationTime" minOccurs="0"/>
                <xsd:element ref="ns3:MediaServiceEventHashCode" minOccurs="0"/>
                <xsd:element ref="ns3:MediaServiceLoca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ed90d44-5196-4332-8a62-428c18f1f4c2"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_activity" ma:index="13" nillable="true" ma:displayName="_activity" ma:hidden="true" ma:internalName="_activity">
      <xsd:simpleType>
        <xsd:restriction base="dms:Note"/>
      </xsd:simpleType>
    </xsd:element>
    <xsd:element name="MediaServiceSystemTags" ma:index="14" nillable="true" ma:displayName="MediaServiceSystemTags" ma:hidden="true" ma:internalName="MediaServiceSystemTags" ma:readOnly="true">
      <xsd:simpleType>
        <xsd:restriction base="dms:Note"/>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ded90d44-5196-4332-8a62-428c18f1f4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002BE30-94FE-4C39-ACB4-E29018A5C9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ed90d44-5196-4332-8a62-428c18f1f4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09FF280-514C-4323-A0EF-F3539364674E}">
  <ds:schemaRefs>
    <ds:schemaRef ds:uri="http://schemas.microsoft.com/office/2006/metadata/properties"/>
    <ds:schemaRef ds:uri="http://schemas.microsoft.com/office/infopath/2007/PartnerControls"/>
    <ds:schemaRef ds:uri="ded90d44-5196-4332-8a62-428c18f1f4c2"/>
  </ds:schemaRefs>
</ds:datastoreItem>
</file>

<file path=customXml/itemProps3.xml><?xml version="1.0" encoding="utf-8"?>
<ds:datastoreItem xmlns:ds="http://schemas.openxmlformats.org/officeDocument/2006/customXml" ds:itemID="{91F57F44-D111-4321-B098-B2BA71F91B36}">
  <ds:schemaRefs>
    <ds:schemaRef ds:uri="http://schemas.microsoft.com/sharepoint/v3/contenttype/forms"/>
  </ds:schemaRefs>
</ds:datastoreItem>
</file>

<file path=docMetadata/LabelInfo.xml><?xml version="1.0" encoding="utf-8"?>
<clbl:labelList xmlns:clbl="http://schemas.microsoft.com/office/2020/mipLabelMetadata">
  <clbl:label id="{3513b79f-ce8d-43d6-b7e5-c12d3e236916}" enabled="1" method="Standard" siteId="{ad8a84ef-f1f3-4b14-ad08-b99ca66f7e3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Backlog_Walmart_3_Epics</vt:lpstr>
      <vt:lpstr>Feuil1</vt:lpstr>
      <vt:lpstr>Feuil2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Farid Bandoui</cp:lastModifiedBy>
  <cp:revision/>
  <dcterms:created xsi:type="dcterms:W3CDTF">2026-02-12T18:23:03Z</dcterms:created>
  <dcterms:modified xsi:type="dcterms:W3CDTF">2026-02-14T03:04:22Z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0x0101001C8A502119386F41B57E9937E8A94F81</vt:lpwstr>
  </property>
</Properties>
</file>